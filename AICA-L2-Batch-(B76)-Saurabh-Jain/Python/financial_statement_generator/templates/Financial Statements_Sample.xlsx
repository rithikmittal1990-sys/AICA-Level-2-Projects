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D:\Professional Development\Courses\AICA\L-2\Capstone Project\"/>
    </mc:Choice>
  </mc:AlternateContent>
  <xr:revisionPtr revIDLastSave="0" documentId="13_ncr:1_{0CA6C9B6-7825-43D9-846D-059F1D6D1F1E}" xr6:coauthVersionLast="47" xr6:coauthVersionMax="47" xr10:uidLastSave="{00000000-0000-0000-0000-000000000000}"/>
  <bookViews>
    <workbookView xWindow="-110" yWindow="-110" windowWidth="19420" windowHeight="10300" tabRatio="945" xr2:uid="{00000000-000D-0000-FFFF-FFFF00000000}"/>
  </bookViews>
  <sheets>
    <sheet name="BS PnL" sheetId="30" r:id="rId1"/>
    <sheet name="Cash Flow " sheetId="51" r:id="rId2"/>
    <sheet name="Note 1-2" sheetId="62" r:id="rId3"/>
    <sheet name="Note 3 (Share Capital)" sheetId="63" r:id="rId4"/>
    <sheet name="NOTE (4-12)" sheetId="65" r:id="rId5"/>
    <sheet name="Note 12 (PPE)" sheetId="59" r:id="rId6"/>
    <sheet name="13.CWIP" sheetId="82" r:id="rId7"/>
    <sheet name="Note (13-20)" sheetId="67" r:id="rId8"/>
    <sheet name="Note 20-31" sheetId="68" r:id="rId9"/>
    <sheet name="EBP" sheetId="80" r:id="rId10"/>
    <sheet name="Ratio_working" sheetId="81" state="hidden" r:id="rId11"/>
    <sheet name="Other Notes" sheetId="64" r:id="rId12"/>
    <sheet name="Stock Reconciliation " sheetId="76" r:id="rId13"/>
    <sheet name="Borrowing" sheetId="72" r:id="rId14"/>
    <sheet name="EPS" sheetId="83" state="hidden" r:id="rId15"/>
  </sheets>
  <externalReferences>
    <externalReference r:id="rId16"/>
    <externalReference r:id="rId17"/>
    <externalReference r:id="rId18"/>
    <externalReference r:id="rId19"/>
  </externalReferences>
  <definedNames>
    <definedName name="\0" localSheetId="13">#REF!</definedName>
    <definedName name="\0">#REF!</definedName>
    <definedName name="\01" localSheetId="13">#REF!</definedName>
    <definedName name="\01">#REF!</definedName>
    <definedName name="\A" localSheetId="13">#REF!</definedName>
    <definedName name="\A">#REF!</definedName>
    <definedName name="\B" localSheetId="13">#REF!</definedName>
    <definedName name="\B">#REF!</definedName>
    <definedName name="\c" localSheetId="13">#REF!</definedName>
    <definedName name="\c">#REF!</definedName>
    <definedName name="\d">#REF!</definedName>
    <definedName name="\E">#REF!</definedName>
    <definedName name="\F">#REF!</definedName>
    <definedName name="\G">#REF!</definedName>
    <definedName name="\H">#REF!</definedName>
    <definedName name="\I">#REF!</definedName>
    <definedName name="\k">#N/A</definedName>
    <definedName name="\L">#REF!</definedName>
    <definedName name="\M">#REF!</definedName>
    <definedName name="\n">#N/A</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#REF!</definedName>
    <definedName name="________________DAT1">#REF!</definedName>
    <definedName name="______________DAT1">#REF!</definedName>
    <definedName name="______________new1">#REF!</definedName>
    <definedName name="_____________DAT2">#REF!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HR1">#REF!</definedName>
    <definedName name="____________DAT1">#REF!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DAT1">#REF!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HR1">#REF!</definedName>
    <definedName name="___________ewr35" hidden="1">#REF!</definedName>
    <definedName name="___________new1">#REF!</definedName>
    <definedName name="___________pl2">#REF!</definedName>
    <definedName name="___________VS1">#REF!</definedName>
    <definedName name="___________VS2">#REF!</definedName>
    <definedName name="__________DAT1">#REF!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ewr35" hidden="1">#REF!</definedName>
    <definedName name="__________new1">#REF!</definedName>
    <definedName name="__________pl2">#REF!</definedName>
    <definedName name="__________TB310396">#REF!</definedName>
    <definedName name="__________VS1">#REF!</definedName>
    <definedName name="__________VS2">#REF!</definedName>
    <definedName name="_________DAT1">#REF!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HR1">#REF!</definedName>
    <definedName name="_________new1">#REF!</definedName>
    <definedName name="_________pl2">#REF!</definedName>
    <definedName name="_________TB310396">#REF!</definedName>
    <definedName name="_________VS1">#REF!</definedName>
    <definedName name="_________VS2">#REF!</definedName>
    <definedName name="________DAT1">#REF!</definedName>
    <definedName name="________DAT12">#REF!</definedName>
    <definedName name="________DAT13">#REF!</definedName>
    <definedName name="________DAT14">#REF!</definedName>
    <definedName name="________DAT16">#REF!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DHR1">#REF!</definedName>
    <definedName name="________ewr35" hidden="1">#REF!</definedName>
    <definedName name="________pl2">#REF!</definedName>
    <definedName name="________SCH11">#REF!</definedName>
    <definedName name="________TB310396">#REF!</definedName>
    <definedName name="________VS1">#REF!</definedName>
    <definedName name="________VS2">#REF!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1">#REF!</definedName>
    <definedName name="_______DAT22">#REF!</definedName>
    <definedName name="_______DAT23">#REF!</definedName>
    <definedName name="_______DAT24">#REF!</definedName>
    <definedName name="_______DAT25">#REF!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HR1">#REF!</definedName>
    <definedName name="_______Gl222201">#REF!</definedName>
    <definedName name="_______pl2">#REF!</definedName>
    <definedName name="_______sch1">#REF!</definedName>
    <definedName name="_______SCH11">#REF!</definedName>
    <definedName name="_______TB310396">#REF!</definedName>
    <definedName name="_______VS1">#REF!</definedName>
    <definedName name="_______VS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HR1">#REF!</definedName>
    <definedName name="______ewr35" hidden="1">#REF!</definedName>
    <definedName name="______Gl222201">#REF!</definedName>
    <definedName name="______new1">#REF!</definedName>
    <definedName name="______pl2">#REF!</definedName>
    <definedName name="______sch1">#REF!</definedName>
    <definedName name="______SCH11">#REF!</definedName>
    <definedName name="______TB310396">#REF!</definedName>
    <definedName name="______VS1">#REF!</definedName>
    <definedName name="______VS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HR1">#REF!</definedName>
    <definedName name="_____Gl222201">#REF!</definedName>
    <definedName name="_____new1">#REF!</definedName>
    <definedName name="_____pl2">#REF!</definedName>
    <definedName name="_____sch1">#REF!</definedName>
    <definedName name="_____SCH11">#REF!</definedName>
    <definedName name="_____TB310396">#REF!</definedName>
    <definedName name="_____VS1">#REF!</definedName>
    <definedName name="_____VS2">#REF!</definedName>
    <definedName name="____4">#REF!</definedName>
    <definedName name="____4A">#REF!</definedName>
    <definedName name="____4B">#REF!</definedName>
    <definedName name="____A131199">#REF!</definedName>
    <definedName name="____abc1" localSheetId="13" hidden="1">{#N/A,#N/A,FALSE,"SUMMARY REPORT"}</definedName>
    <definedName name="____abc1" localSheetId="9" hidden="1">{#N/A,#N/A,FALSE,"SUMMARY REPORT"}</definedName>
    <definedName name="____abc1" hidden="1">{#N/A,#N/A,FALSE,"SUMMARY REPORT"}</definedName>
    <definedName name="____abc10" localSheetId="13" hidden="1">{#N/A,#N/A,FALSE,"SUMMARY REPORT"}</definedName>
    <definedName name="____abc10" localSheetId="9" hidden="1">{#N/A,#N/A,FALSE,"SUMMARY REPORT"}</definedName>
    <definedName name="____abc10" hidden="1">{#N/A,#N/A,FALSE,"SUMMARY REPORT"}</definedName>
    <definedName name="____abc115" localSheetId="13" hidden="1">{#N/A,#N/A,FALSE,"SUMMARY REPORT"}</definedName>
    <definedName name="____abc115" localSheetId="9" hidden="1">{#N/A,#N/A,FALSE,"SUMMARY REPORT"}</definedName>
    <definedName name="____abc115" hidden="1">{#N/A,#N/A,FALSE,"SUMMARY REPORT"}</definedName>
    <definedName name="____ABC12" localSheetId="13" hidden="1">{#N/A,#N/A,FALSE,"SUMMARY REPORT"}</definedName>
    <definedName name="____ABC12" localSheetId="9" hidden="1">{#N/A,#N/A,FALSE,"SUMMARY REPORT"}</definedName>
    <definedName name="____ABC12" hidden="1">{#N/A,#N/A,FALSE,"SUMMARY REPORT"}</definedName>
    <definedName name="____abc13" localSheetId="13" hidden="1">{#N/A,#N/A,FALSE,"SUMMARY REPORT"}</definedName>
    <definedName name="____abc13" localSheetId="9" hidden="1">{#N/A,#N/A,FALSE,"SUMMARY REPORT"}</definedName>
    <definedName name="____abc13" hidden="1">{#N/A,#N/A,FALSE,"SUMMARY REPORT"}</definedName>
    <definedName name="____abc14" localSheetId="13" hidden="1">{#N/A,#N/A,FALSE,"SUMMARY REPORT"}</definedName>
    <definedName name="____abc14" localSheetId="9" hidden="1">{#N/A,#N/A,FALSE,"SUMMARY REPORT"}</definedName>
    <definedName name="____abc14" hidden="1">{#N/A,#N/A,FALSE,"SUMMARY REPORT"}</definedName>
    <definedName name="____abc15" localSheetId="13" hidden="1">{#N/A,#N/A,FALSE,"SUMMARY REPORT"}</definedName>
    <definedName name="____abc15" localSheetId="9" hidden="1">{#N/A,#N/A,FALSE,"SUMMARY REPORT"}</definedName>
    <definedName name="____abc15" hidden="1">{#N/A,#N/A,FALSE,"SUMMARY REPORT"}</definedName>
    <definedName name="____abc16" localSheetId="13" hidden="1">{#N/A,#N/A,FALSE,"SUMMARY REPORT"}</definedName>
    <definedName name="____abc16" localSheetId="9" hidden="1">{#N/A,#N/A,FALSE,"SUMMARY REPORT"}</definedName>
    <definedName name="____abc16" hidden="1">{#N/A,#N/A,FALSE,"SUMMARY REPORT"}</definedName>
    <definedName name="____abc18" localSheetId="13" hidden="1">{#N/A,#N/A,FALSE,"SUMMARY REPORT"}</definedName>
    <definedName name="____abc18" localSheetId="9" hidden="1">{#N/A,#N/A,FALSE,"SUMMARY REPORT"}</definedName>
    <definedName name="____abc18" hidden="1">{#N/A,#N/A,FALSE,"SUMMARY REPORT"}</definedName>
    <definedName name="____abc19" localSheetId="13" hidden="1">{#N/A,#N/A,FALSE,"SUMMARY REPORT"}</definedName>
    <definedName name="____abc19" localSheetId="9" hidden="1">{#N/A,#N/A,FALSE,"SUMMARY REPORT"}</definedName>
    <definedName name="____abc19" hidden="1">{#N/A,#N/A,FALSE,"SUMMARY REPORT"}</definedName>
    <definedName name="____abc21" localSheetId="13" hidden="1">{#N/A,#N/A,FALSE,"SUMMARY REPORT"}</definedName>
    <definedName name="____abc21" localSheetId="9" hidden="1">{#N/A,#N/A,FALSE,"SUMMARY REPORT"}</definedName>
    <definedName name="____abc21" hidden="1">{#N/A,#N/A,FALSE,"SUMMARY REPORT"}</definedName>
    <definedName name="____ABC5" localSheetId="13" hidden="1">{#N/A,#N/A,FALSE,"SUMMARY REPORT"}</definedName>
    <definedName name="____ABC5" localSheetId="9" hidden="1">{#N/A,#N/A,FALSE,"SUMMARY REPORT"}</definedName>
    <definedName name="____ABC5" hidden="1">{#N/A,#N/A,FALSE,"SUMMARY REPORT"}</definedName>
    <definedName name="____abc6" localSheetId="13" hidden="1">{#N/A,#N/A,FALSE,"SUMMARY REPORT"}</definedName>
    <definedName name="____abc6" localSheetId="9" hidden="1">{#N/A,#N/A,FALSE,"SUMMARY REPORT"}</definedName>
    <definedName name="____abc6" hidden="1">{#N/A,#N/A,FALSE,"SUMMARY REPORT"}</definedName>
    <definedName name="____ABC7" localSheetId="13" hidden="1">{#N/A,#N/A,FALSE,"SUMMARY REPORT"}</definedName>
    <definedName name="____ABC7" localSheetId="9" hidden="1">{#N/A,#N/A,FALSE,"SUMMARY REPORT"}</definedName>
    <definedName name="____ABC7" hidden="1">{#N/A,#N/A,FALSE,"SUMMARY REPORT"}</definedName>
    <definedName name="____ABC8" localSheetId="13" hidden="1">{#N/A,#N/A,FALSE,"SUMMARY REPORT"}</definedName>
    <definedName name="____ABC8" localSheetId="9" hidden="1">{#N/A,#N/A,FALSE,"SUMMARY REPORT"}</definedName>
    <definedName name="____ABC8" hidden="1">{#N/A,#N/A,FALSE,"SUMMARY REPORT"}</definedName>
    <definedName name="____ABC9" localSheetId="13" hidden="1">{#N/A,#N/A,FALSE,"SUMMARY REPORT"}</definedName>
    <definedName name="____ABC9" localSheetId="9" hidden="1">{#N/A,#N/A,FALSE,"SUMMARY REPORT"}</definedName>
    <definedName name="____ABC9" hidden="1">{#N/A,#N/A,FALSE,"SUMMARY REPORT"}</definedName>
    <definedName name="____ADC6" localSheetId="13" hidden="1">{#N/A,#N/A,FALSE,"SUMMARY REPORT"}</definedName>
    <definedName name="____ADC6" localSheetId="9" hidden="1">{#N/A,#N/A,FALSE,"SUMMARY REPORT"}</definedName>
    <definedName name="____ADC6" hidden="1">{#N/A,#N/A,FALSE,"SUMMARY REPORT"}</definedName>
    <definedName name="____ASE5" localSheetId="13" hidden="1">{#N/A,#N/A,FALSE,"SUMMARY REPORT"}</definedName>
    <definedName name="____ASE5" localSheetId="9" hidden="1">{#N/A,#N/A,FALSE,"SUMMARY REPORT"}</definedName>
    <definedName name="____ASE5" hidden="1">{#N/A,#N/A,FALSE,"SUMMARY REPORT"}</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HR1">#REF!</definedName>
    <definedName name="____EDF2" localSheetId="13" hidden="1">{#N/A,#N/A,FALSE,"SUMMARY REPORT"}</definedName>
    <definedName name="____EDF2" localSheetId="9" hidden="1">{#N/A,#N/A,FALSE,"SUMMARY REPORT"}</definedName>
    <definedName name="____EDF2" hidden="1">{#N/A,#N/A,FALSE,"SUMMARY REPORT"}</definedName>
    <definedName name="____ewr35" hidden="1">#REF!</definedName>
    <definedName name="____FBT1" localSheetId="13" hidden="1">{#N/A,#N/A,FALSE,"SUMMARY REPORT"}</definedName>
    <definedName name="____FBT1" localSheetId="9" hidden="1">{#N/A,#N/A,FALSE,"SUMMARY REPORT"}</definedName>
    <definedName name="____FBT1" hidden="1">{#N/A,#N/A,FALSE,"SUMMARY REPORT"}</definedName>
    <definedName name="____Gl222201">#REF!</definedName>
    <definedName name="____new1">#REF!</definedName>
    <definedName name="____NSO2" localSheetId="13" hidden="1">{"'Sheet1'!$L$16"}</definedName>
    <definedName name="____NSO2" localSheetId="9" hidden="1">{"'Sheet1'!$L$16"}</definedName>
    <definedName name="____NSO2" hidden="1">{"'Sheet1'!$L$16"}</definedName>
    <definedName name="____pl2">#REF!</definedName>
    <definedName name="____QAC6" localSheetId="13" hidden="1">{#N/A,#N/A,FALSE,"SUMMARY REPORT"}</definedName>
    <definedName name="____QAC6" localSheetId="9" hidden="1">{#N/A,#N/A,FALSE,"SUMMARY REPORT"}</definedName>
    <definedName name="____QAC6" hidden="1">{#N/A,#N/A,FALSE,"SUMMARY REPORT"}</definedName>
    <definedName name="____sch1">#REF!</definedName>
    <definedName name="____SCH11">#REF!</definedName>
    <definedName name="____TB310396">#REF!</definedName>
    <definedName name="____VS1">#REF!</definedName>
    <definedName name="____VS2">#REF!</definedName>
    <definedName name="___1_4">#REF!</definedName>
    <definedName name="___2_4A">#REF!</definedName>
    <definedName name="___3_4B">#REF!</definedName>
    <definedName name="___4">#REF!</definedName>
    <definedName name="___4A">#REF!</definedName>
    <definedName name="___4B">#REF!</definedName>
    <definedName name="___A131199">#REF!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HR1">#REF!</definedName>
    <definedName name="___ewr35" localSheetId="9" hidden="1">#REF!</definedName>
    <definedName name="___ewr35" hidden="1">#REF!</definedName>
    <definedName name="___g1" localSheetId="13" hidden="1">{"'August 2000'!$A$1:$J$101"}</definedName>
    <definedName name="___g1" localSheetId="9" hidden="1">{"'August 2000'!$A$1:$J$101"}</definedName>
    <definedName name="___g1" hidden="1">{"'August 2000'!$A$1:$J$101"}</definedName>
    <definedName name="___Gl222201">#REF!</definedName>
    <definedName name="___pl2">#REF!</definedName>
    <definedName name="___pm2">#REF!</definedName>
    <definedName name="___SCH1">#REF!</definedName>
    <definedName name="___SCH11">#REF!</definedName>
    <definedName name="___SCH3">#REF!</definedName>
    <definedName name="___TB310396">#REF!</definedName>
    <definedName name="___VS1">#REF!</definedName>
    <definedName name="___VS2">#REF!</definedName>
    <definedName name="__0">#REF!</definedName>
    <definedName name="__1_4">#REF!</definedName>
    <definedName name="__10__123Graph_ACHART_13" hidden="1">#REF!</definedName>
    <definedName name="__100__123Graph_XCHART_16" hidden="1">#REF!</definedName>
    <definedName name="__102__123Graph_XCHART_2" hidden="1">#REF!</definedName>
    <definedName name="__104__123Graph_XCHART_3" hidden="1">#REF!</definedName>
    <definedName name="__106__123Graph_XCHART_4" hidden="1">#REF!</definedName>
    <definedName name="__108__123Graph_XCHART_5" hidden="1">#REF!</definedName>
    <definedName name="__110__123Graph_XCHART_6" hidden="1">#REF!</definedName>
    <definedName name="__112__123Graph_XCHART_7" hidden="1">#REF!</definedName>
    <definedName name="__114__123Graph_XCHART_8" hidden="1">#REF!</definedName>
    <definedName name="__116__123Graph_XCHART_9" hidden="1">#REF!</definedName>
    <definedName name="__12">NA()</definedName>
    <definedName name="__12__123Graph_ACHART_14" localSheetId="9" hidden="1">#REF!</definedName>
    <definedName name="__12__123Graph_ACHART_14" hidden="1">#REF!</definedName>
    <definedName name="__123Graph_A" localSheetId="9" hidden="1">#REF!</definedName>
    <definedName name="__123Graph_A" hidden="1">#REF!</definedName>
    <definedName name="__123Graph_A95内製工場" localSheetId="9" hidden="1">#REF!</definedName>
    <definedName name="__123Graph_A95内製工場" hidden="1">#REF!</definedName>
    <definedName name="__123Graph_ACurrent" hidden="1">#REF!</definedName>
    <definedName name="__123Graph_ATRAIN" hidden="1">#REF!</definedName>
    <definedName name="__123Graph_B" hidden="1">#REF!</definedName>
    <definedName name="__123Graph_BCurrent" hidden="1">#REF!</definedName>
    <definedName name="__123Graph_BTRAIN" hidden="1">#REF!</definedName>
    <definedName name="__123Graph_C" hidden="1">#REF!</definedName>
    <definedName name="__123Graph_CCurrent" hidden="1">#REF!</definedName>
    <definedName name="__123Graph_CTRAIN" hidden="1">#REF!</definedName>
    <definedName name="__123Graph_D" localSheetId="9" hidden="1">#REF!</definedName>
    <definedName name="__123Graph_D" hidden="1">#REF!</definedName>
    <definedName name="__123Graph_DCurrent" hidden="1">#REF!</definedName>
    <definedName name="__123Graph_DTRAIN" hidden="1">#REF!</definedName>
    <definedName name="__123Graph_E" localSheetId="9" hidden="1">#REF!</definedName>
    <definedName name="__123Graph_E" hidden="1">#REF!</definedName>
    <definedName name="__123Graph_ECurrent" hidden="1">#REF!</definedName>
    <definedName name="__123Graph_ETRAIN" hidden="1">#REF!</definedName>
    <definedName name="__123Graph_F" hidden="1">#REF!</definedName>
    <definedName name="__123Graph_FCurrent" hidden="1">#REF!</definedName>
    <definedName name="__123Graph_X" hidden="1">#REF!</definedName>
    <definedName name="__123Graph_X95内製工場" hidden="1">#REF!</definedName>
    <definedName name="__123Graph_XTRAIN" hidden="1">#REF!</definedName>
    <definedName name="__14__123Graph_ACHART_15" hidden="1">#REF!</definedName>
    <definedName name="__16__123Graph_ACHART_16" hidden="1">#REF!</definedName>
    <definedName name="__17">NA()</definedName>
    <definedName name="__18__123Graph_ACHART_2" localSheetId="9" hidden="1">#REF!</definedName>
    <definedName name="__18__123Graph_ACHART_2" hidden="1">#REF!</definedName>
    <definedName name="__2__123Graph_ACHART_1" localSheetId="9" hidden="1">#REF!</definedName>
    <definedName name="__2__123Graph_ACHART_1" hidden="1">#REF!</definedName>
    <definedName name="__2_4A">#REF!</definedName>
    <definedName name="__20__123Graph_ACHART_3" hidden="1">#REF!</definedName>
    <definedName name="__22__123Graph_ACHART_4" hidden="1">#REF!</definedName>
    <definedName name="__24__123Graph_ACHART_5" hidden="1">#REF!</definedName>
    <definedName name="__26__123Graph_ACHART_6" hidden="1">#REF!</definedName>
    <definedName name="__28__123Graph_ACHART_7" hidden="1">#REF!</definedName>
    <definedName name="__3_4B">#REF!</definedName>
    <definedName name="__30__123Graph_ACHART_8" hidden="1">#REF!</definedName>
    <definedName name="__32__123Graph_ACHART_9" hidden="1">#REF!</definedName>
    <definedName name="__34__123Graph_BCHART_1" hidden="1">#REF!</definedName>
    <definedName name="__36__123Graph_BCHART_2" hidden="1">#REF!</definedName>
    <definedName name="__38__123Graph_BCHART_3" hidden="1">#REF!</definedName>
    <definedName name="__4">#REF!</definedName>
    <definedName name="__4__123Graph_ACHART_10" hidden="1">#REF!</definedName>
    <definedName name="__40__123Graph_BCHART_4" hidden="1">#REF!</definedName>
    <definedName name="__42__123Graph_BCHART_6" hidden="1">#REF!</definedName>
    <definedName name="__44__123Graph_BCHART_7" hidden="1">#REF!</definedName>
    <definedName name="__46__123Graph_LBL_ACHART_1" hidden="1">#REF!</definedName>
    <definedName name="__48__123Graph_LBL_ACHART_10" hidden="1">#REF!</definedName>
    <definedName name="__4A">#REF!</definedName>
    <definedName name="__4B">#REF!</definedName>
    <definedName name="__50__123Graph_LBL_ACHART_11" hidden="1">#REF!</definedName>
    <definedName name="__52__123Graph_LBL_ACHART_12" hidden="1">#REF!</definedName>
    <definedName name="__54__123Graph_LBL_ACHART_13" hidden="1">#REF!</definedName>
    <definedName name="__56__123Graph_LBL_ACHART_14" hidden="1">#REF!</definedName>
    <definedName name="__58__123Graph_LBL_ACHART_15" hidden="1">#REF!</definedName>
    <definedName name="__6__123Graph_ACHART_11" hidden="1">#REF!</definedName>
    <definedName name="__60__123Graph_LBL_ACHART_16" hidden="1">#REF!</definedName>
    <definedName name="__62__123Graph_LBL_ACHART_2" hidden="1">#REF!</definedName>
    <definedName name="__64__123Graph_LBL_ACHART_3" hidden="1">#REF!</definedName>
    <definedName name="__66__123Graph_LBL_ACHART_4" hidden="1">#REF!</definedName>
    <definedName name="__68__123Graph_LBL_ACHART_5" hidden="1">#REF!</definedName>
    <definedName name="__70__123Graph_LBL_ACHART_6" hidden="1">#REF!</definedName>
    <definedName name="__72__123Graph_LBL_ACHART_7" hidden="1">#REF!</definedName>
    <definedName name="__74__123Graph_LBL_ACHART_8" hidden="1">#REF!</definedName>
    <definedName name="__76__123Graph_LBL_ACHART_9" hidden="1">#REF!</definedName>
    <definedName name="__78__123Graph_LBL_BCHART_1" hidden="1">#REF!</definedName>
    <definedName name="__8__123Graph_ACHART_12" hidden="1">#REF!</definedName>
    <definedName name="__80__123Graph_LBL_BCHART_2" hidden="1">#REF!</definedName>
    <definedName name="__82__123Graph_LBL_BCHART_3" hidden="1">#REF!</definedName>
    <definedName name="__84__123Graph_LBL_BCHART_4" hidden="1">#REF!</definedName>
    <definedName name="__86__123Graph_XCHART_1" hidden="1">#REF!</definedName>
    <definedName name="__88__123Graph_XCHART_10" hidden="1">#REF!</definedName>
    <definedName name="__90__123Graph_XCHART_11" hidden="1">#REF!</definedName>
    <definedName name="__92__123Graph_XCHART_12" hidden="1">#REF!</definedName>
    <definedName name="__94__123Graph_XCHART_13" hidden="1">#REF!</definedName>
    <definedName name="__96__123Graph_XCHART_14" hidden="1">#REF!</definedName>
    <definedName name="__98__123Graph_XCHART_15" hidden="1">#REF!</definedName>
    <definedName name="__A131199">#REF!</definedName>
    <definedName name="__A16385">#REF!</definedName>
    <definedName name="__abc1" localSheetId="13" hidden="1">{#N/A,#N/A,FALSE,"SUMMARY REPORT"}</definedName>
    <definedName name="__abc1" localSheetId="9" hidden="1">{#N/A,#N/A,FALSE,"SUMMARY REPORT"}</definedName>
    <definedName name="__abc1" hidden="1">{#N/A,#N/A,FALSE,"SUMMARY REPORT"}</definedName>
    <definedName name="__abc10" localSheetId="13" hidden="1">{#N/A,#N/A,FALSE,"SUMMARY REPORT"}</definedName>
    <definedName name="__abc10" localSheetId="9" hidden="1">{#N/A,#N/A,FALSE,"SUMMARY REPORT"}</definedName>
    <definedName name="__abc10" hidden="1">{#N/A,#N/A,FALSE,"SUMMARY REPORT"}</definedName>
    <definedName name="__abc115" localSheetId="13" hidden="1">{#N/A,#N/A,FALSE,"SUMMARY REPORT"}</definedName>
    <definedName name="__abc115" localSheetId="9" hidden="1">{#N/A,#N/A,FALSE,"SUMMARY REPORT"}</definedName>
    <definedName name="__abc115" hidden="1">{#N/A,#N/A,FALSE,"SUMMARY REPORT"}</definedName>
    <definedName name="__ABC12" localSheetId="13" hidden="1">{#N/A,#N/A,FALSE,"SUMMARY REPORT"}</definedName>
    <definedName name="__ABC12" localSheetId="9" hidden="1">{#N/A,#N/A,FALSE,"SUMMARY REPORT"}</definedName>
    <definedName name="__ABC12" hidden="1">{#N/A,#N/A,FALSE,"SUMMARY REPORT"}</definedName>
    <definedName name="__abc13" localSheetId="13" hidden="1">{#N/A,#N/A,FALSE,"SUMMARY REPORT"}</definedName>
    <definedName name="__abc13" localSheetId="9" hidden="1">{#N/A,#N/A,FALSE,"SUMMARY REPORT"}</definedName>
    <definedName name="__abc13" hidden="1">{#N/A,#N/A,FALSE,"SUMMARY REPORT"}</definedName>
    <definedName name="__abc14" localSheetId="13" hidden="1">{#N/A,#N/A,FALSE,"SUMMARY REPORT"}</definedName>
    <definedName name="__abc14" localSheetId="9" hidden="1">{#N/A,#N/A,FALSE,"SUMMARY REPORT"}</definedName>
    <definedName name="__abc14" hidden="1">{#N/A,#N/A,FALSE,"SUMMARY REPORT"}</definedName>
    <definedName name="__abc15" localSheetId="13" hidden="1">{#N/A,#N/A,FALSE,"SUMMARY REPORT"}</definedName>
    <definedName name="__abc15" localSheetId="9" hidden="1">{#N/A,#N/A,FALSE,"SUMMARY REPORT"}</definedName>
    <definedName name="__abc15" hidden="1">{#N/A,#N/A,FALSE,"SUMMARY REPORT"}</definedName>
    <definedName name="__abc16" localSheetId="13" hidden="1">{#N/A,#N/A,FALSE,"SUMMARY REPORT"}</definedName>
    <definedName name="__abc16" localSheetId="9" hidden="1">{#N/A,#N/A,FALSE,"SUMMARY REPORT"}</definedName>
    <definedName name="__abc16" hidden="1">{#N/A,#N/A,FALSE,"SUMMARY REPORT"}</definedName>
    <definedName name="__abc18" localSheetId="13" hidden="1">{#N/A,#N/A,FALSE,"SUMMARY REPORT"}</definedName>
    <definedName name="__abc18" localSheetId="9" hidden="1">{#N/A,#N/A,FALSE,"SUMMARY REPORT"}</definedName>
    <definedName name="__abc18" hidden="1">{#N/A,#N/A,FALSE,"SUMMARY REPORT"}</definedName>
    <definedName name="__abc19" localSheetId="13" hidden="1">{#N/A,#N/A,FALSE,"SUMMARY REPORT"}</definedName>
    <definedName name="__abc19" localSheetId="9" hidden="1">{#N/A,#N/A,FALSE,"SUMMARY REPORT"}</definedName>
    <definedName name="__abc19" hidden="1">{#N/A,#N/A,FALSE,"SUMMARY REPORT"}</definedName>
    <definedName name="__abc21" localSheetId="13" hidden="1">{#N/A,#N/A,FALSE,"SUMMARY REPORT"}</definedName>
    <definedName name="__abc21" localSheetId="9" hidden="1">{#N/A,#N/A,FALSE,"SUMMARY REPORT"}</definedName>
    <definedName name="__abc21" hidden="1">{#N/A,#N/A,FALSE,"SUMMARY REPORT"}</definedName>
    <definedName name="__ABC5" localSheetId="13" hidden="1">{#N/A,#N/A,FALSE,"SUMMARY REPORT"}</definedName>
    <definedName name="__ABC5" localSheetId="9" hidden="1">{#N/A,#N/A,FALSE,"SUMMARY REPORT"}</definedName>
    <definedName name="__ABC5" hidden="1">{#N/A,#N/A,FALSE,"SUMMARY REPORT"}</definedName>
    <definedName name="__abc6" localSheetId="13" hidden="1">{#N/A,#N/A,FALSE,"SUMMARY REPORT"}</definedName>
    <definedName name="__abc6" localSheetId="9" hidden="1">{#N/A,#N/A,FALSE,"SUMMARY REPORT"}</definedName>
    <definedName name="__abc6" hidden="1">{#N/A,#N/A,FALSE,"SUMMARY REPORT"}</definedName>
    <definedName name="__ABC7" localSheetId="13" hidden="1">{#N/A,#N/A,FALSE,"SUMMARY REPORT"}</definedName>
    <definedName name="__ABC7" localSheetId="9" hidden="1">{#N/A,#N/A,FALSE,"SUMMARY REPORT"}</definedName>
    <definedName name="__ABC7" hidden="1">{#N/A,#N/A,FALSE,"SUMMARY REPORT"}</definedName>
    <definedName name="__ABC8" localSheetId="13" hidden="1">{#N/A,#N/A,FALSE,"SUMMARY REPORT"}</definedName>
    <definedName name="__ABC8" localSheetId="9" hidden="1">{#N/A,#N/A,FALSE,"SUMMARY REPORT"}</definedName>
    <definedName name="__ABC8" hidden="1">{#N/A,#N/A,FALSE,"SUMMARY REPORT"}</definedName>
    <definedName name="__ABC9" localSheetId="13" hidden="1">{#N/A,#N/A,FALSE,"SUMMARY REPORT"}</definedName>
    <definedName name="__ABC9" localSheetId="9" hidden="1">{#N/A,#N/A,FALSE,"SUMMARY REPORT"}</definedName>
    <definedName name="__ABC9" hidden="1">{#N/A,#N/A,FALSE,"SUMMARY REPORT"}</definedName>
    <definedName name="__ADC6" localSheetId="13" hidden="1">{#N/A,#N/A,FALSE,"SUMMARY REPORT"}</definedName>
    <definedName name="__ADC6" localSheetId="9" hidden="1">{#N/A,#N/A,FALSE,"SUMMARY REPORT"}</definedName>
    <definedName name="__ADC6" hidden="1">{#N/A,#N/A,FALSE,"SUMMARY REPORT"}</definedName>
    <definedName name="__ASE5" localSheetId="13" hidden="1">{#N/A,#N/A,FALSE,"SUMMARY REPORT"}</definedName>
    <definedName name="__ASE5" localSheetId="9" hidden="1">{#N/A,#N/A,FALSE,"SUMMARY REPORT"}</definedName>
    <definedName name="__ASE5" hidden="1">{#N/A,#N/A,FALSE,"SUMMARY REPORT"}</definedName>
    <definedName name="__AT1" localSheetId="13" hidden="1">{#N/A,#N/A,FALSE,"인원";#N/A,#N/A,FALSE,"비용2";#N/A,#N/A,FALSE,"비용1";#N/A,#N/A,FALSE,"비용";#N/A,#N/A,FALSE,"보증2";#N/A,#N/A,FALSE,"보증1";#N/A,#N/A,FALSE,"보증";#N/A,#N/A,FALSE,"손익1";#N/A,#N/A,FALSE,"손익";#N/A,#N/A,FALSE,"부서별매출";#N/A,#N/A,FALSE,"매출"}</definedName>
    <definedName name="__AT1" localSheetId="9"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13" hidden="1">{#N/A,#N/A,FALSE,"인원";#N/A,#N/A,FALSE,"비용2";#N/A,#N/A,FALSE,"비용1";#N/A,#N/A,FALSE,"비용";#N/A,#N/A,FALSE,"보증2";#N/A,#N/A,FALSE,"보증1";#N/A,#N/A,FALSE,"보증";#N/A,#N/A,FALSE,"손익1";#N/A,#N/A,FALSE,"손익";#N/A,#N/A,FALSE,"부서별매출";#N/A,#N/A,FALSE,"매출"}</definedName>
    <definedName name="__AT3" localSheetId="9"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HR1">#REF!</definedName>
    <definedName name="__EDF2" localSheetId="13" hidden="1">{#N/A,#N/A,FALSE,"SUMMARY REPORT"}</definedName>
    <definedName name="__EDF2" localSheetId="9" hidden="1">{#N/A,#N/A,FALSE,"SUMMARY REPORT"}</definedName>
    <definedName name="__EDF2" hidden="1">{#N/A,#N/A,FALSE,"SUMMARY REPORT"}</definedName>
    <definedName name="__ESC1">#REF!</definedName>
    <definedName name="__ewr35" localSheetId="9" hidden="1">#REF!</definedName>
    <definedName name="__ewr35" hidden="1">#REF!</definedName>
    <definedName name="__FBT1" localSheetId="13" hidden="1">{#N/A,#N/A,FALSE,"SUMMARY REPORT"}</definedName>
    <definedName name="__FBT1" localSheetId="9" hidden="1">{#N/A,#N/A,FALSE,"SUMMARY REPORT"}</definedName>
    <definedName name="__FBT1" hidden="1">{#N/A,#N/A,FALSE,"SUMMARY REPORT"}</definedName>
    <definedName name="__FDS_HYPERLINK_TOGGLE_STATE__" hidden="1">"ON"</definedName>
    <definedName name="__Gl222201">#REF!</definedName>
    <definedName name="__IntlFixup" hidden="1">TRUE</definedName>
    <definedName name="__m1000000">#REF!</definedName>
    <definedName name="__MAM1">#REF!</definedName>
    <definedName name="__new1">#REF!</definedName>
    <definedName name="__pl2">#REF!</definedName>
    <definedName name="__pm2">#REF!</definedName>
    <definedName name="__QAC6" localSheetId="13" hidden="1">{#N/A,#N/A,FALSE,"SUMMARY REPORT"}</definedName>
    <definedName name="__QAC6" localSheetId="9" hidden="1">{#N/A,#N/A,FALSE,"SUMMARY REPORT"}</definedName>
    <definedName name="__QAC6" hidden="1">{#N/A,#N/A,FALSE,"SUMMARY REPORT"}</definedName>
    <definedName name="__SCH1">#REF!</definedName>
    <definedName name="__SCH11">#REF!</definedName>
    <definedName name="__SCH2">#REF!</definedName>
    <definedName name="__SCH3">#REF!</definedName>
    <definedName name="__SCH4">#REF!</definedName>
    <definedName name="__TB310396">#REF!</definedName>
    <definedName name="__VS1">#REF!</definedName>
    <definedName name="__VS2">#REF!</definedName>
    <definedName name="__WS1">#REF!</definedName>
    <definedName name="__xlnm._FilterDatabase">#REF!</definedName>
    <definedName name="__xlnm.Print_Area_1">#REF!</definedName>
    <definedName name="_0">#REF!</definedName>
    <definedName name="_0_2">#REF!</definedName>
    <definedName name="_0_5">"'file://Makess121/Documents and Settings/Satish Kanwar/Local Settings/Temporary Internet Files/OLK6A/Documents and Settings/Owner/My Documents/BS - 2004-05/BS 28.02.2005 STL - W.xls'#$B_Sheet.$#REF!$#REF!"</definedName>
    <definedName name="_1">#REF!</definedName>
    <definedName name="_1__123Graph_ACHART_1" localSheetId="9" hidden="1">#REF!</definedName>
    <definedName name="_1__123Graph_ACHART_1" hidden="1">#REF!</definedName>
    <definedName name="_1_0TAB">#REF!</definedName>
    <definedName name="_1_2">#REF!</definedName>
    <definedName name="_1_4">#REF!</definedName>
    <definedName name="_1_FULL">#REF!</definedName>
    <definedName name="_10__123Graph_ACHART_13" localSheetId="9" hidden="1">#REF!</definedName>
    <definedName name="_10__123Graph_ACHART_13" hidden="1">#REF!</definedName>
    <definedName name="_10__123Graph_ACHART_3" hidden="1">#REF!</definedName>
    <definedName name="_10_8">#REF!</definedName>
    <definedName name="_10_9_BT_DECEMB">#REF!</definedName>
    <definedName name="_10_9_BT_FEBRUA">#REF!</definedName>
    <definedName name="_10_9_BT_NOVEMB">#REF!</definedName>
    <definedName name="_10_9_BT_SEPTEM">#REF!</definedName>
    <definedName name="_10_9_BTU_ANNUA">#REF!</definedName>
    <definedName name="_10_9_BTU_APRIL">#REF!</definedName>
    <definedName name="_10_9_BTU_AUGUS">#REF!</definedName>
    <definedName name="_10_9_BTU_JANUA">#REF!</definedName>
    <definedName name="_10_9_BTU_JULY">#REF!</definedName>
    <definedName name="_10_9_BTU_JUNE">#REF!</definedName>
    <definedName name="_10_9_BTU_MARCH">#REF!</definedName>
    <definedName name="_10_9_BTU_MAY">#REF!</definedName>
    <definedName name="_10_9_BTU_OCTOB">#REF!</definedName>
    <definedName name="_100__123Graph_XCHART_16" hidden="1">#REF!</definedName>
    <definedName name="_102__123Graph_XCHART_2" hidden="1">#REF!</definedName>
    <definedName name="_104__123Graph_XCHART_3" hidden="1">#REF!</definedName>
    <definedName name="_106__123Graph_XCHART_4" hidden="1">#REF!</definedName>
    <definedName name="_108__123Graph_XCHART_5" hidden="1">#REF!</definedName>
    <definedName name="_11">#REF!</definedName>
    <definedName name="_11__123Graph_ACHART_4" hidden="1">#REF!</definedName>
    <definedName name="_110__123Graph_XCHART_6" hidden="1">#REF!</definedName>
    <definedName name="_112__123Graph_XCHART_7" hidden="1">#REF!</definedName>
    <definedName name="_114__123Graph_XCHART_8" hidden="1">#REF!</definedName>
    <definedName name="_116__123Graph_XCHART_9" hidden="1">#REF!</definedName>
    <definedName name="_11IN_LINE">#REF!</definedName>
    <definedName name="_12__123Graph_ACHART_14" hidden="1">#REF!</definedName>
    <definedName name="_12__123Graph_ACHART_5" hidden="1">#REF!</definedName>
    <definedName name="_123graph_bchart4" hidden="1">#REF!</definedName>
    <definedName name="_125____S" hidden="1">#REF!</definedName>
    <definedName name="_13__123Graph_ACHART_6" hidden="1">#REF!</definedName>
    <definedName name="_130__0_S" hidden="1">#REF!</definedName>
    <definedName name="_14__123Graph_ACHART_15" hidden="1">#REF!</definedName>
    <definedName name="_14__123Graph_ACHART_7" hidden="1">#REF!</definedName>
    <definedName name="_15__123Graph_ACHART_8" hidden="1">#REF!</definedName>
    <definedName name="_16__123Graph_ACHART_16" hidden="1">#REF!</definedName>
    <definedName name="_16__123Graph_ACHART_9" hidden="1">#REF!</definedName>
    <definedName name="_17__123Graph_BCHART_1" hidden="1">#REF!</definedName>
    <definedName name="_18__123Graph_ACHART_2" hidden="1">#REF!</definedName>
    <definedName name="_18__123Graph_BCHART_2" hidden="1">#REF!</definedName>
    <definedName name="_18_6">#REF!</definedName>
    <definedName name="_19__123Graph_BCHART_3" hidden="1">#REF!</definedName>
    <definedName name="_19_8">#REF!</definedName>
    <definedName name="_１Ｌ">#REF!</definedName>
    <definedName name="_1PRINT_ALL_IN">#REF!</definedName>
    <definedName name="_1TAB">#REF!</definedName>
    <definedName name="_2">#REF!</definedName>
    <definedName name="_2_____0TAB">#REF!</definedName>
    <definedName name="_2__123Graph_ACHART_1" hidden="1">#REF!</definedName>
    <definedName name="_2__123Graph_ACHART_10" hidden="1">#REF!</definedName>
    <definedName name="_2__123Graph_ACHART_2" hidden="1">#REF!</definedName>
    <definedName name="_2_0TAB">#REF!</definedName>
    <definedName name="_2_2">#REF!</definedName>
    <definedName name="_2_4A">#REF!</definedName>
    <definedName name="_20__123Graph_ACHART_3" hidden="1">#REF!</definedName>
    <definedName name="_20__123Graph_BCHART_4" hidden="1">#REF!</definedName>
    <definedName name="_20____S" hidden="1">#REF!</definedName>
    <definedName name="_207">#REF!</definedName>
    <definedName name="_20IN_LINE">#REF!</definedName>
    <definedName name="_21__123Graph_BCHART_6" hidden="1">#REF!</definedName>
    <definedName name="_22__123Graph_ACHART_4" hidden="1">#REF!</definedName>
    <definedName name="_22__123Graph_BCHART_7" hidden="1">#REF!</definedName>
    <definedName name="_23__123Graph_LBL_ACHART_1" hidden="1">#REF!</definedName>
    <definedName name="_23____S" hidden="1">#REF!</definedName>
    <definedName name="_24__123Graph_ACHART_5" hidden="1">#REF!</definedName>
    <definedName name="_24__123Graph_Aｸﾞﾗﾌ_1" hidden="1">#REF!</definedName>
    <definedName name="_24__123Graph_LBL_ACHART_10" hidden="1">#REF!</definedName>
    <definedName name="_25__123Graph_Aｸﾞﾗﾌ_2" hidden="1">#REF!</definedName>
    <definedName name="_25__123Graph_LBL_ACHART_11" hidden="1">#REF!</definedName>
    <definedName name="_26__123Graph_ACHART_6" hidden="1">#REF!</definedName>
    <definedName name="_26__123Graph_Bｸﾞﾗﾌ_1" hidden="1">#REF!</definedName>
    <definedName name="_26__123Graph_LBL_ACHART_12" hidden="1">#REF!</definedName>
    <definedName name="_27__123Graph_Bｸﾞﾗﾌ_2" hidden="1">#REF!</definedName>
    <definedName name="_27__123Graph_LBL_ACHART_13" hidden="1">#REF!</definedName>
    <definedName name="_28__123Graph_ACHART_7" hidden="1">#REF!</definedName>
    <definedName name="_28__123Graph_LBL_ACHART_14" hidden="1">#REF!</definedName>
    <definedName name="_29__123Graph_LBL_ACHART_15" hidden="1">#REF!</definedName>
    <definedName name="_2PRINT_DC">#REF!</definedName>
    <definedName name="_2TAB">#REF!</definedName>
    <definedName name="_3">#REF!</definedName>
    <definedName name="_3__123Graph_ACHART_11" hidden="1">#REF!</definedName>
    <definedName name="_3__123Graph_ACHART_3" hidden="1">#REF!</definedName>
    <definedName name="_3_2">#REF!</definedName>
    <definedName name="_3_4B">#REF!</definedName>
    <definedName name="_30__123Graph_ACHART_8" hidden="1">#REF!</definedName>
    <definedName name="_30__123Graph_LBL_ACHART_16" hidden="1">#REF!</definedName>
    <definedName name="_31__123Graph_LBL_ACHART_2" hidden="1">#REF!</definedName>
    <definedName name="_32__123Graph_ACHART_9" hidden="1">#REF!</definedName>
    <definedName name="_32__123Graph_LBL_ACHART_3" hidden="1">#REF!</definedName>
    <definedName name="_33__123Graph_LBL_ACHART_4" hidden="1">#REF!</definedName>
    <definedName name="_3380">+#REF!+#REF!+#REF!+#REF!+#REF!+#REF!+#REF!+#REF!+#REF!+#REF!+#REF!+#REF!+#REF!+#REF!+#REF!+#REF!+#REF!+#REF!+#REF!+#REF!+#REF!+#REF!+#REF!+#REF!+#REF!+#REF!+#REF!+#REF!</definedName>
    <definedName name="_34__123Graph_BCHART_1" hidden="1">#REF!</definedName>
    <definedName name="_34__123Graph_LBL_ACHART_5" hidden="1">#REF!</definedName>
    <definedName name="_35__123Graph_LBL_ACHART_6" hidden="1">#REF!</definedName>
    <definedName name="_36__123Graph_BCHART_2" hidden="1">#REF!</definedName>
    <definedName name="_36__123Graph_LBL_ACHART_7" hidden="1">#REF!</definedName>
    <definedName name="_36____S" hidden="1">#REF!</definedName>
    <definedName name="_37__123Graph_LBL_ACHART_8" hidden="1">#REF!</definedName>
    <definedName name="_38__123Graph_BCHART_3" hidden="1">#REF!</definedName>
    <definedName name="_38__123Graph_LBL_ACHART_9" hidden="1">#REF!</definedName>
    <definedName name="_39__123Graph_LBL_BCHART_1" hidden="1">#REF!</definedName>
    <definedName name="_4">#REF!</definedName>
    <definedName name="_4____0TAB">#REF!</definedName>
    <definedName name="_4__123Graph_ACHART_10" hidden="1">#REF!</definedName>
    <definedName name="_4__123Graph_ACHART_12" hidden="1">#REF!</definedName>
    <definedName name="_4__123Graph_ACHART_4" hidden="1">#REF!</definedName>
    <definedName name="_40__123Graph_BCHART_4" hidden="1">#REF!</definedName>
    <definedName name="_40__123Graph_LBL_BCHART_2" hidden="1">#REF!</definedName>
    <definedName name="_41__123Graph_LBL_BCHART_3" hidden="1">#REF!</definedName>
    <definedName name="_42__123Graph_BCHART_6" hidden="1">#REF!</definedName>
    <definedName name="_42__123Graph_LBL_BCHART_4" hidden="1">#REF!</definedName>
    <definedName name="_43__123Graph_XCHART_1" hidden="1">#REF!</definedName>
    <definedName name="_44__123Graph_BCHART_7" hidden="1">#REF!</definedName>
    <definedName name="_44__123Graph_XCHART_10" hidden="1">#REF!</definedName>
    <definedName name="_45__123Graph_XCHART_11" hidden="1">#REF!</definedName>
    <definedName name="_46__123Graph_LBL_ACHART_1" hidden="1">#REF!</definedName>
    <definedName name="_46__123Graph_XCHART_12" hidden="1">#REF!</definedName>
    <definedName name="_47__123Graph_XCHART_13" hidden="1">#REF!</definedName>
    <definedName name="_48__123Graph_LBL_ACHART_10" hidden="1">#REF!</definedName>
    <definedName name="_48__123Graph_XCHART_14" hidden="1">#REF!</definedName>
    <definedName name="_49__123Graph_XCHART_15" hidden="1">#REF!</definedName>
    <definedName name="_4A">#REF!</definedName>
    <definedName name="_4B">#REF!</definedName>
    <definedName name="_4TAB">#REF!</definedName>
    <definedName name="_5">#REF!</definedName>
    <definedName name="_5__123Graph_ACHART_13" hidden="1">#REF!</definedName>
    <definedName name="_5__123Graph_XCHART_2" hidden="1">#REF!</definedName>
    <definedName name="_50__123Graph_LBL_ACHART_11" hidden="1">#REF!</definedName>
    <definedName name="_50__123Graph_XCHART_16" hidden="1">#REF!</definedName>
    <definedName name="_51__123Graph_XCHART_2" hidden="1">#REF!</definedName>
    <definedName name="_52__123Graph_LBL_ACHART_12" hidden="1">#REF!</definedName>
    <definedName name="_52__123Graph_XCHART_3" hidden="1">#REF!</definedName>
    <definedName name="_52FA0">+#REF!+#REF!+#REF!+#REF!+#REF!+#REF!+#REF!+#REF!+#REF!+#REF!+#REF!+#REF!+#REF!+#REF!+#REF!+#REF!+#REF!+#REF!+#REF!+#REF!+#REF!+#REF!+#REF!+#REF!+#REF!+#REF!+#REF!+#REF!</definedName>
    <definedName name="_53__123Graph_XCHART_4" hidden="1">#REF!</definedName>
    <definedName name="_53281">+#REF!+#REF!+#REF!+#REF!+#REF!+#REF!+#REF!+#REF!+#REF!+#REF!+#REF!+#REF!+#REF!+#REF!+#REF!+#REF!+#REF!+#REF!+#REF!+#REF!+#REF!+#REF!+#REF!+#REF!+#REF!+#REF!+#REF!+#REF!</definedName>
    <definedName name="_53582">+#REF!+#REF!+#REF!+#REF!+#REF!+#REF!+#REF!+#REF!+#REF!+#REF!+#REF!+#REF!+#REF!+#REF!+#REF!+#REF!+#REF!+#REF!+#REF!+#REF!+#REF!+#REF!+#REF!+#REF!+#REF!+#REF!+#REF!+#REF!</definedName>
    <definedName name="_53863">+#REF!+#REF!+#REF!+#REF!+#REF!+#REF!+#REF!+#REF!+#REF!+#REF!+#REF!+#REF!+#REF!+#REF!+#REF!+#REF!+#REF!+#REF!+#REF!+#REF!+#REF!+#REF!+#REF!+#REF!+#REF!+#REF!+#REF!+#REF!</definedName>
    <definedName name="_54__123Graph_LBL_ACHART_13" hidden="1">#REF!</definedName>
    <definedName name="_54__123Graph_XCHART_5" hidden="1">#REF!</definedName>
    <definedName name="_55__123Graph_XCHART_6" hidden="1">#REF!</definedName>
    <definedName name="_56__123Graph_LBL_ACHART_14" hidden="1">#REF!</definedName>
    <definedName name="_56__123Graph_XCHART_7" hidden="1">#REF!</definedName>
    <definedName name="_57__123Graph_XCHART_8" hidden="1">#REF!</definedName>
    <definedName name="_58__123Graph_LBL_ACHART_15" hidden="1">#REF!</definedName>
    <definedName name="_58__123Graph_XCHART_9" hidden="1">#REF!</definedName>
    <definedName name="_6">#REF!</definedName>
    <definedName name="_6___0TAB">#REF!</definedName>
    <definedName name="_6__123Graph_ACHART_11" hidden="1">#REF!</definedName>
    <definedName name="_6__123Graph_ACHART_14" hidden="1">#REF!</definedName>
    <definedName name="_6__123Graph_XCHART_3" hidden="1">#REF!</definedName>
    <definedName name="_60__123Graph_LBL_ACHART_16" hidden="1">#REF!</definedName>
    <definedName name="_60LEAD_SCHEDULE">#REF!</definedName>
    <definedName name="_62__123Graph_LBL_ACHART_2" hidden="1">#REF!</definedName>
    <definedName name="_63PROG_SU">#REF!</definedName>
    <definedName name="_64__123Graph_LBL_ACHART_3" hidden="1">#REF!</definedName>
    <definedName name="_65">#REF!</definedName>
    <definedName name="_66__123Graph_LBL_ACHART_4" hidden="1">#REF!</definedName>
    <definedName name="_68__123Graph_LBL_ACHART_5" hidden="1">#REF!</definedName>
    <definedName name="_7">#REF!</definedName>
    <definedName name="_7__123Graph_ACHART_15" hidden="1">#REF!</definedName>
    <definedName name="_7__123Graph_XCHART_4" hidden="1">#REF!</definedName>
    <definedName name="_70__123Graph_LBL_ACHART_6" hidden="1">#REF!</definedName>
    <definedName name="_72__123Graph_LBL_ACHART_7" hidden="1">#REF!</definedName>
    <definedName name="_74__123Graph_LBL_ACHART_8" hidden="1">#REF!</definedName>
    <definedName name="_76__123Graph_LBL_ACHART_9" hidden="1">#REF!</definedName>
    <definedName name="_78.260">#REF!</definedName>
    <definedName name="_78__123Graph_LBL_BCHART_1" hidden="1">#REF!</definedName>
    <definedName name="_8">#REF!</definedName>
    <definedName name="_8__123Graph_ACHART_12" hidden="1">#REF!</definedName>
    <definedName name="_8__123Graph_ACHART_16" hidden="1">#REF!</definedName>
    <definedName name="_8_0TAB">#REF!</definedName>
    <definedName name="_80__123Graph_LBL_BCHART_2" hidden="1">#REF!</definedName>
    <definedName name="_82__123Graph_LBL_BCHART_3" hidden="1">#REF!</definedName>
    <definedName name="_82FC0">+#REF!+#REF!+#REF!+#REF!+#REF!+#REF!+#REF!+#REF!+#REF!+#REF!+#REF!+#REF!+#REF!+#REF!+#REF!+#REF!+#REF!+#REF!+#REF!+#REF!+#REF!+#REF!+#REF!+#REF!+#REF!+#REF!+#REF!+#REF!</definedName>
    <definedName name="_83930">+#REF!+#REF!+#REF!+#REF!+#REF!+#REF!+#REF!+#REF!+#REF!+#REF!+#REF!+#REF!+#REF!+#REF!+#REF!+#REF!+#REF!+#REF!+#REF!+#REF!+#REF!+#REF!+#REF!+#REF!+#REF!+#REF!+#REF!+#REF!</definedName>
    <definedName name="_83940">+#REF!+#REF!+#REF!+#REF!+#REF!+#REF!+#REF!+#REF!+#REF!+#REF!+#REF!+#REF!+#REF!+#REF!+#REF!+#REF!+#REF!+#REF!+#REF!+#REF!+#REF!+#REF!+#REF!+#REF!+#REF!+#REF!+#REF!+#REF!</definedName>
    <definedName name="_83C11">+#REF!+#REF!+#REF!+#REF!+#REF!+#REF!+#REF!+#REF!+#REF!+#REF!+#REF!+#REF!+#REF!+#REF!+#REF!+#REF!+#REF!+#REF!+#REF!+#REF!+#REF!+#REF!+#REF!+#REF!+#REF!+#REF!+#REF!+#REF!</definedName>
    <definedName name="_83C21">+#REF!+#REF!+#REF!+#REF!+#REF!+#REF!+#REF!+#REF!+#REF!+#REF!+#REF!+#REF!+#REF!+#REF!+#REF!+#REF!+#REF!+#REF!+#REF!+#REF!+#REF!+#REF!+#REF!+#REF!+#REF!+#REF!+#REF!+#REF!</definedName>
    <definedName name="_83F12">+#REF!+#REF!+#REF!+#REF!+#REF!+#REF!+#REF!+#REF!+#REF!+#REF!+#REF!+#REF!+#REF!+#REF!+#REF!+#REF!+#REF!+#REF!+#REF!+#REF!+#REF!+#REF!+#REF!+#REF!+#REF!+#REF!+#REF!+#REF!</definedName>
    <definedName name="_83F22">+#REF!+#REF!+#REF!+#REF!+#REF!+#REF!+#REF!+#REF!+#REF!+#REF!+#REF!+#REF!+#REF!+#REF!+#REF!+#REF!+#REF!+#REF!+#REF!+#REF!+#REF!+#REF!+#REF!+#REF!+#REF!+#REF!+#REF!+#REF!</definedName>
    <definedName name="_84__123Graph_LBL_BCHART_4" hidden="1">#REF!</definedName>
    <definedName name="_841F3">+#REF!+#REF!+#REF!+#REF!+#REF!+#REF!+#REF!+#REF!+#REF!+#REF!+#REF!+#REF!+#REF!+#REF!+#REF!+#REF!+#REF!+#REF!+#REF!+#REF!+#REF!+#REF!+#REF!+#REF!+#REF!+#REF!+#REF!+#REF!</definedName>
    <definedName name="_84203">+#REF!+#REF!+#REF!+#REF!+#REF!+#REF!+#REF!+#REF!+#REF!+#REF!+#REF!+#REF!+#REF!+#REF!+#REF!+#REF!+#REF!+#REF!+#REF!+#REF!+#REF!+#REF!+#REF!+#REF!+#REF!+#REF!+#REF!+#REF!</definedName>
    <definedName name="_844B0">+#REF!+#REF!+#REF!+#REF!+#REF!+#REF!+#REF!+#REF!+#REF!+#REF!+#REF!+#REF!+#REF!+#REF!+#REF!+#REF!+#REF!+#REF!+#REF!+#REF!+#REF!+#REF!+#REF!+#REF!+#REF!+#REF!+#REF!+#REF!</definedName>
    <definedName name="_86__123Graph_XCHART_1" hidden="1">#REF!</definedName>
    <definedName name="_88__123Graph_XCHART_10" hidden="1">#REF!</definedName>
    <definedName name="_9__123Graph_ACHART_2" hidden="1">#REF!</definedName>
    <definedName name="_9_6">#REF!</definedName>
    <definedName name="_90__123Graph_XCHART_11" hidden="1">#REF!</definedName>
    <definedName name="_92__123Graph_XCHART_12" hidden="1">#REF!</definedName>
    <definedName name="_94__123Graph_XCHART_13" hidden="1">#REF!</definedName>
    <definedName name="_96__123Graph_XCHART_14" hidden="1">#REF!</definedName>
    <definedName name="_98__123Graph_XCHART_15" hidden="1">#REF!</definedName>
    <definedName name="_A">#REF!</definedName>
    <definedName name="_A_2">#REF!</definedName>
    <definedName name="_A_5">"'file://Makess121/Documents and Settings/Satish Kanwar/Local Settings/Temporary Internet Files/OLK6A/Documents and Settings/Owner/My Documents/BS - 2004-05/BS 28.02.2005 STL - W.xls'#$B_Sheet.$#REF!$#REF!"</definedName>
    <definedName name="_A131199">#REF!</definedName>
    <definedName name="_A16385">#REF!</definedName>
    <definedName name="_a3" localSheetId="13" hidden="1">{#N/A,#N/A,FALSE,"196126-0690";#N/A,#N/A,FALSE,"196126-0690";#N/A,#N/A,FALSE,"1961165-0201"}</definedName>
    <definedName name="_a3" localSheetId="9" hidden="1">{#N/A,#N/A,FALSE,"196126-0690";#N/A,#N/A,FALSE,"196126-0690";#N/A,#N/A,FALSE,"1961165-0201"}</definedName>
    <definedName name="_a3" hidden="1">{#N/A,#N/A,FALSE,"196126-0690";#N/A,#N/A,FALSE,"196126-0690";#N/A,#N/A,FALSE,"1961165-0201"}</definedName>
    <definedName name="_abc1" localSheetId="13" hidden="1">{#N/A,#N/A,FALSE,"SUMMARY REPORT"}</definedName>
    <definedName name="_abc1" localSheetId="9" hidden="1">{#N/A,#N/A,FALSE,"SUMMARY REPORT"}</definedName>
    <definedName name="_abc1" hidden="1">{#N/A,#N/A,FALSE,"SUMMARY REPORT"}</definedName>
    <definedName name="_abc10" localSheetId="13" hidden="1">{#N/A,#N/A,FALSE,"SUMMARY REPORT"}</definedName>
    <definedName name="_abc10" localSheetId="9" hidden="1">{#N/A,#N/A,FALSE,"SUMMARY REPORT"}</definedName>
    <definedName name="_abc10" hidden="1">{#N/A,#N/A,FALSE,"SUMMARY REPORT"}</definedName>
    <definedName name="_abc115" localSheetId="13" hidden="1">{#N/A,#N/A,FALSE,"SUMMARY REPORT"}</definedName>
    <definedName name="_abc115" localSheetId="9" hidden="1">{#N/A,#N/A,FALSE,"SUMMARY REPORT"}</definedName>
    <definedName name="_abc115" hidden="1">{#N/A,#N/A,FALSE,"SUMMARY REPORT"}</definedName>
    <definedName name="_ABC12" localSheetId="13" hidden="1">{#N/A,#N/A,FALSE,"SUMMARY REPORT"}</definedName>
    <definedName name="_ABC12" localSheetId="9" hidden="1">{#N/A,#N/A,FALSE,"SUMMARY REPORT"}</definedName>
    <definedName name="_ABC12" hidden="1">{#N/A,#N/A,FALSE,"SUMMARY REPORT"}</definedName>
    <definedName name="_abc13" localSheetId="13" hidden="1">{#N/A,#N/A,FALSE,"SUMMARY REPORT"}</definedName>
    <definedName name="_abc13" localSheetId="9" hidden="1">{#N/A,#N/A,FALSE,"SUMMARY REPORT"}</definedName>
    <definedName name="_abc13" hidden="1">{#N/A,#N/A,FALSE,"SUMMARY REPORT"}</definedName>
    <definedName name="_abc14" localSheetId="13" hidden="1">{#N/A,#N/A,FALSE,"SUMMARY REPORT"}</definedName>
    <definedName name="_abc14" localSheetId="9" hidden="1">{#N/A,#N/A,FALSE,"SUMMARY REPORT"}</definedName>
    <definedName name="_abc14" hidden="1">{#N/A,#N/A,FALSE,"SUMMARY REPORT"}</definedName>
    <definedName name="_abc15" localSheetId="13" hidden="1">{#N/A,#N/A,FALSE,"SUMMARY REPORT"}</definedName>
    <definedName name="_abc15" localSheetId="9" hidden="1">{#N/A,#N/A,FALSE,"SUMMARY REPORT"}</definedName>
    <definedName name="_abc15" hidden="1">{#N/A,#N/A,FALSE,"SUMMARY REPORT"}</definedName>
    <definedName name="_abc16" localSheetId="13" hidden="1">{#N/A,#N/A,FALSE,"SUMMARY REPORT"}</definedName>
    <definedName name="_abc16" localSheetId="9" hidden="1">{#N/A,#N/A,FALSE,"SUMMARY REPORT"}</definedName>
    <definedName name="_abc16" hidden="1">{#N/A,#N/A,FALSE,"SUMMARY REPORT"}</definedName>
    <definedName name="_abc18" localSheetId="13" hidden="1">{#N/A,#N/A,FALSE,"SUMMARY REPORT"}</definedName>
    <definedName name="_abc18" localSheetId="9" hidden="1">{#N/A,#N/A,FALSE,"SUMMARY REPORT"}</definedName>
    <definedName name="_abc18" hidden="1">{#N/A,#N/A,FALSE,"SUMMARY REPORT"}</definedName>
    <definedName name="_abc19" localSheetId="13" hidden="1">{#N/A,#N/A,FALSE,"SUMMARY REPORT"}</definedName>
    <definedName name="_abc19" localSheetId="9" hidden="1">{#N/A,#N/A,FALSE,"SUMMARY REPORT"}</definedName>
    <definedName name="_abc19" hidden="1">{#N/A,#N/A,FALSE,"SUMMARY REPORT"}</definedName>
    <definedName name="_abc21" localSheetId="13" hidden="1">{#N/A,#N/A,FALSE,"SUMMARY REPORT"}</definedName>
    <definedName name="_abc21" localSheetId="9" hidden="1">{#N/A,#N/A,FALSE,"SUMMARY REPORT"}</definedName>
    <definedName name="_abc21" hidden="1">{#N/A,#N/A,FALSE,"SUMMARY REPORT"}</definedName>
    <definedName name="_ABC5" localSheetId="13" hidden="1">{#N/A,#N/A,FALSE,"SUMMARY REPORT"}</definedName>
    <definedName name="_ABC5" localSheetId="9" hidden="1">{#N/A,#N/A,FALSE,"SUMMARY REPORT"}</definedName>
    <definedName name="_ABC5" hidden="1">{#N/A,#N/A,FALSE,"SUMMARY REPORT"}</definedName>
    <definedName name="_abc6" localSheetId="13" hidden="1">{#N/A,#N/A,FALSE,"SUMMARY REPORT"}</definedName>
    <definedName name="_abc6" localSheetId="9" hidden="1">{#N/A,#N/A,FALSE,"SUMMARY REPORT"}</definedName>
    <definedName name="_abc6" hidden="1">{#N/A,#N/A,FALSE,"SUMMARY REPORT"}</definedName>
    <definedName name="_ABC7" localSheetId="13" hidden="1">{#N/A,#N/A,FALSE,"SUMMARY REPORT"}</definedName>
    <definedName name="_ABC7" localSheetId="9" hidden="1">{#N/A,#N/A,FALSE,"SUMMARY REPORT"}</definedName>
    <definedName name="_ABC7" hidden="1">{#N/A,#N/A,FALSE,"SUMMARY REPORT"}</definedName>
    <definedName name="_ABC8" localSheetId="13" hidden="1">{#N/A,#N/A,FALSE,"SUMMARY REPORT"}</definedName>
    <definedName name="_ABC8" localSheetId="9" hidden="1">{#N/A,#N/A,FALSE,"SUMMARY REPORT"}</definedName>
    <definedName name="_ABC8" hidden="1">{#N/A,#N/A,FALSE,"SUMMARY REPORT"}</definedName>
    <definedName name="_ABC9" localSheetId="13" hidden="1">{#N/A,#N/A,FALSE,"SUMMARY REPORT"}</definedName>
    <definedName name="_ABC9" localSheetId="9" hidden="1">{#N/A,#N/A,FALSE,"SUMMARY REPORT"}</definedName>
    <definedName name="_ABC9" hidden="1">{#N/A,#N/A,FALSE,"SUMMARY REPORT"}</definedName>
    <definedName name="_ABS1">#REF!</definedName>
    <definedName name="_ABS2">#REF!</definedName>
    <definedName name="_ABS3">#REF!</definedName>
    <definedName name="_acb6" localSheetId="13" hidden="1">{#N/A,#N/A,FALSE,"SUMMARY REPORT"}</definedName>
    <definedName name="_acb6" localSheetId="9" hidden="1">{#N/A,#N/A,FALSE,"SUMMARY REPORT"}</definedName>
    <definedName name="_acb6" hidden="1">{#N/A,#N/A,FALSE,"SUMMARY REPORT"}</definedName>
    <definedName name="_ADC6" localSheetId="13" hidden="1">{#N/A,#N/A,FALSE,"SUMMARY REPORT"}</definedName>
    <definedName name="_ADC6" localSheetId="9" hidden="1">{#N/A,#N/A,FALSE,"SUMMARY REPORT"}</definedName>
    <definedName name="_ADC6" hidden="1">{#N/A,#N/A,FALSE,"SUMMARY REPORT"}</definedName>
    <definedName name="_ASE5" localSheetId="13" hidden="1">{#N/A,#N/A,FALSE,"SUMMARY REPORT"}</definedName>
    <definedName name="_ASE5" localSheetId="9" hidden="1">{#N/A,#N/A,FALSE,"SUMMARY REPORT"}</definedName>
    <definedName name="_ASE5" hidden="1">{#N/A,#N/A,FALSE,"SUMMARY REPORT"}</definedName>
    <definedName name="_AT1" localSheetId="13" hidden="1">{#N/A,#N/A,FALSE,"인원";#N/A,#N/A,FALSE,"비용2";#N/A,#N/A,FALSE,"비용1";#N/A,#N/A,FALSE,"비용";#N/A,#N/A,FALSE,"보증2";#N/A,#N/A,FALSE,"보증1";#N/A,#N/A,FALSE,"보증";#N/A,#N/A,FALSE,"손익1";#N/A,#N/A,FALSE,"손익";#N/A,#N/A,FALSE,"부서별매출";#N/A,#N/A,FALSE,"매출"}</definedName>
    <definedName name="_AT1" localSheetId="9"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13" hidden="1">{#N/A,#N/A,FALSE,"인원";#N/A,#N/A,FALSE,"비용2";#N/A,#N/A,FALSE,"비용1";#N/A,#N/A,FALSE,"비용";#N/A,#N/A,FALSE,"보증2";#N/A,#N/A,FALSE,"보증1";#N/A,#N/A,FALSE,"보증";#N/A,#N/A,FALSE,"손익1";#N/A,#N/A,FALSE,"손익";#N/A,#N/A,FALSE,"부서별매출";#N/A,#N/A,FALSE,"매출"}</definedName>
    <definedName name="_AT3" localSheetId="9"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b">NA()</definedName>
    <definedName name="_BigT">#REF!</definedName>
    <definedName name="_BTM150">#REF!</definedName>
    <definedName name="_BTM200">#REF!</definedName>
    <definedName name="_BTM50">#REF!</definedName>
    <definedName name="_c">NA()</definedName>
    <definedName name="_CON1">#REF!</definedName>
    <definedName name="_CON2">#REF!</definedName>
    <definedName name="_d">NA()</definedName>
    <definedName name="_D_2">#REF!</definedName>
    <definedName name="_D_5">"'file://Makess121/Documents and Settings/Satish Kanwar/Local Settings/Temporary Internet Files/OLK6A/Documents and Settings/Owner/My Documents/BS - 2004-05/BS 28.02.2005 STL - W.xls'#$B_Sheet.$#REF!$#REF!"</definedName>
    <definedName name="_D750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44">#REF!</definedName>
    <definedName name="_DAT4">#REF!</definedName>
    <definedName name="_DAT5">#REF!</definedName>
    <definedName name="_DAT500">#REF!</definedName>
    <definedName name="_DAT6">#REF!</definedName>
    <definedName name="_DAT65">#REF!</definedName>
    <definedName name="_DAT7">#REF!</definedName>
    <definedName name="_DAT8">#REF!</definedName>
    <definedName name="_DAT9">#REF!</definedName>
    <definedName name="_DDL1">#REF!</definedName>
    <definedName name="_DDL2">#REF!</definedName>
    <definedName name="_DDL3">#REF!</definedName>
    <definedName name="_DDL4">#REF!</definedName>
    <definedName name="_DDM0041">#N/A</definedName>
    <definedName name="_DDM0046">#N/A</definedName>
    <definedName name="_DDT004721">#N/A</definedName>
    <definedName name="_DHR1">#REF!</definedName>
    <definedName name="_Dist_Bin" localSheetId="9" hidden="1">#REF!</definedName>
    <definedName name="_Dist_Bin" hidden="1">#REF!</definedName>
    <definedName name="_Dist_Values" localSheetId="9" hidden="1">#REF!</definedName>
    <definedName name="_Dist_Values" hidden="1">#REF!</definedName>
    <definedName name="_EDF2" localSheetId="13" hidden="1">{#N/A,#N/A,FALSE,"SUMMARY REPORT"}</definedName>
    <definedName name="_EDF2" localSheetId="9" hidden="1">{#N/A,#N/A,FALSE,"SUMMARY REPORT"}</definedName>
    <definedName name="_EDF2" hidden="1">{#N/A,#N/A,FALSE,"SUMMARY REPORT"}</definedName>
    <definedName name="_ESC1">#REF!</definedName>
    <definedName name="_et3">#REF!</definedName>
    <definedName name="_eva97">#REF!</definedName>
    <definedName name="_ewr35" localSheetId="9" hidden="1">#REF!</definedName>
    <definedName name="_ewr35" hidden="1">#REF!</definedName>
    <definedName name="_EXC1">#REF!</definedName>
    <definedName name="_EXC2">#REF!</definedName>
    <definedName name="_FBT1" localSheetId="13" hidden="1">{#N/A,#N/A,FALSE,"SUMMARY REPORT"}</definedName>
    <definedName name="_FBT1" localSheetId="9" hidden="1">{#N/A,#N/A,FALSE,"SUMMARY REPORT"}</definedName>
    <definedName name="_FBT1" hidden="1">{#N/A,#N/A,FALSE,"SUMMARY REPORT"}</definedName>
    <definedName name="_fcf97">#REF!</definedName>
    <definedName name="_Fill" localSheetId="9" hidden="1">#REF!</definedName>
    <definedName name="_Fill" hidden="1">#REF!</definedName>
    <definedName name="_xlnm._FilterDatabase" localSheetId="13" hidden="1">#REF!</definedName>
    <definedName name="_xlnm._FilterDatabase" localSheetId="9" hidden="1">EBP!$A$2:$L$186</definedName>
    <definedName name="_xlnm._FilterDatabase" hidden="1">#REF!</definedName>
    <definedName name="_FSTEMP_" localSheetId="13">#REF!</definedName>
    <definedName name="_FSTEMP_">#REF!</definedName>
    <definedName name="_Gl222201" localSheetId="13">#REF!</definedName>
    <definedName name="_Gl222201">#REF!</definedName>
    <definedName name="_GoA1">#N/A</definedName>
    <definedName name="_h3" localSheetId="13" hidden="1">{#N/A,#N/A,FALSE,"196126-0690";#N/A,#N/A,FALSE,"196126-0690";#N/A,#N/A,FALSE,"1961165-0201"}</definedName>
    <definedName name="_h3" localSheetId="9" hidden="1">{#N/A,#N/A,FALSE,"196126-0690";#N/A,#N/A,FALSE,"196126-0690";#N/A,#N/A,FALSE,"1961165-0201"}</definedName>
    <definedName name="_h3" hidden="1">{#N/A,#N/A,FALSE,"196126-0690";#N/A,#N/A,FALSE,"196126-0690";#N/A,#N/A,FALSE,"1961165-0201"}</definedName>
    <definedName name="_h4" localSheetId="13" hidden="1">{#N/A,#N/A,FALSE,"196126-0690";#N/A,#N/A,FALSE,"196126-0690";#N/A,#N/A,FALSE,"1961165-0201"}</definedName>
    <definedName name="_h4" localSheetId="9" hidden="1">{#N/A,#N/A,FALSE,"196126-0690";#N/A,#N/A,FALSE,"196126-0690";#N/A,#N/A,FALSE,"1961165-0201"}</definedName>
    <definedName name="_h4" hidden="1">{#N/A,#N/A,FALSE,"196126-0690";#N/A,#N/A,FALSE,"196126-0690";#N/A,#N/A,FALSE,"1961165-0201"}</definedName>
    <definedName name="_h5" localSheetId="13" hidden="1">{#N/A,#N/A,FALSE,"196126-0690";#N/A,#N/A,FALSE,"196126-0690";#N/A,#N/A,FALSE,"1961165-0201"}</definedName>
    <definedName name="_h5" localSheetId="9" hidden="1">{#N/A,#N/A,FALSE,"196126-0690";#N/A,#N/A,FALSE,"196126-0690";#N/A,#N/A,FALSE,"1961165-0201"}</definedName>
    <definedName name="_h5" hidden="1">{#N/A,#N/A,FALSE,"196126-0690";#N/A,#N/A,FALSE,"196126-0690";#N/A,#N/A,FALSE,"1961165-0201"}</definedName>
    <definedName name="_hav3" localSheetId="13" hidden="1">{#N/A,#N/A,FALSE,"196126-0690";#N/A,#N/A,FALSE,"196126-0690";#N/A,#N/A,FALSE,"1961165-0201"}</definedName>
    <definedName name="_hav3" localSheetId="9" hidden="1">{#N/A,#N/A,FALSE,"196126-0690";#N/A,#N/A,FALSE,"196126-0690";#N/A,#N/A,FALSE,"1961165-0201"}</definedName>
    <definedName name="_hav3" hidden="1">{#N/A,#N/A,FALSE,"196126-0690";#N/A,#N/A,FALSE,"196126-0690";#N/A,#N/A,FALSE,"1961165-0201"}</definedName>
    <definedName name="_hom2">#REF!</definedName>
    <definedName name="_jkj" localSheetId="9" hidden="1">#REF!</definedName>
    <definedName name="_jkj" hidden="1">#REF!</definedName>
    <definedName name="_kedar" localSheetId="9" hidden="1">#REF!</definedName>
    <definedName name="_kedar" hidden="1">#REF!</definedName>
    <definedName name="_Key1" localSheetId="9" hidden="1">#REF!</definedName>
    <definedName name="_Key1" hidden="1">#REF!</definedName>
    <definedName name="_Key2" hidden="1">#REF!</definedName>
    <definedName name="_KKK" hidden="1">#REF!</definedName>
    <definedName name="_m1000000">#REF!</definedName>
    <definedName name="_MAM1">#REF!</definedName>
    <definedName name="_MatInverse_In" hidden="1">#REF!</definedName>
    <definedName name="_MatInverse_Out" hidden="1">#REF!</definedName>
    <definedName name="_MENUBRANCH_MEN">#N/A</definedName>
    <definedName name="_MENUBRANCH_印">#N/A</definedName>
    <definedName name="_MENUBRANCH_罫">#N/A</definedName>
    <definedName name="_MP1">#REF!</definedName>
    <definedName name="_msl100" localSheetId="13">#REF!</definedName>
    <definedName name="_msl100">#REF!</definedName>
    <definedName name="_msl200" localSheetId="13">#REF!</definedName>
    <definedName name="_msl200">#REF!</definedName>
    <definedName name="_msl250" localSheetId="13">#REF!</definedName>
    <definedName name="_msl250">#REF!</definedName>
    <definedName name="_msl300">#REF!</definedName>
    <definedName name="_msl400">#REF!</definedName>
    <definedName name="_msl800">#REF!</definedName>
    <definedName name="_MTD2">#REF!</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va97">#REF!</definedName>
    <definedName name="_n3" localSheetId="13" hidden="1">{#N/A,#N/A,FALSE,"196126-0690";#N/A,#N/A,FALSE,"196126-0690";#N/A,#N/A,FALSE,"1961165-0201"}</definedName>
    <definedName name="_n3" localSheetId="9" hidden="1">{#N/A,#N/A,FALSE,"196126-0690";#N/A,#N/A,FALSE,"196126-0690";#N/A,#N/A,FALSE,"1961165-0201"}</definedName>
    <definedName name="_n3" hidden="1">{#N/A,#N/A,FALSE,"196126-0690";#N/A,#N/A,FALSE,"196126-0690";#N/A,#N/A,FALSE,"1961165-0201"}</definedName>
    <definedName name="_NET2">#REF!</definedName>
    <definedName name="_new1">#REF!</definedName>
    <definedName name="_NO3">#REF!</definedName>
    <definedName name="_NO5">#REF!</definedName>
    <definedName name="_NO7">#REF!</definedName>
    <definedName name="_NSO2" localSheetId="13" hidden="1">{"'Sheet1'!$L$16"}</definedName>
    <definedName name="_NSO2" localSheetId="9" hidden="1">{"'Sheet1'!$L$16"}</definedName>
    <definedName name="_NSO2" hidden="1">{"'Sheet1'!$L$16"}</definedName>
    <definedName name="_Order1" hidden="1">255</definedName>
    <definedName name="_Order2" hidden="1">255</definedName>
    <definedName name="_Parse_In" hidden="1">#REF!</definedName>
    <definedName name="_Parse_Out" localSheetId="13" hidden="1">#REF!</definedName>
    <definedName name="_Parse_Out" localSheetId="9" hidden="1">#REF!</definedName>
    <definedName name="_Parse_Out" hidden="1">#REF!</definedName>
    <definedName name="_pkg2" localSheetId="13">#REF!</definedName>
    <definedName name="_pkg2">#REF!</definedName>
    <definedName name="_pl2" localSheetId="13">#REF!</definedName>
    <definedName name="_pl2">#REF!</definedName>
    <definedName name="_pm2">#REF!</definedName>
    <definedName name="_QAC6" localSheetId="13" hidden="1">{#N/A,#N/A,FALSE,"SUMMARY REPORT"}</definedName>
    <definedName name="_QAC6" localSheetId="9" hidden="1">{#N/A,#N/A,FALSE,"SUMMARY REPORT"}</definedName>
    <definedName name="_QAC6" hidden="1">{#N/A,#N/A,FALSE,"SUMMARY REPORT"}</definedName>
    <definedName name="_qtr02">#REF!</definedName>
    <definedName name="_qtr4">#REF!</definedName>
    <definedName name="_QUIT_">#REF!</definedName>
    <definedName name="_qya3">#REF!</definedName>
    <definedName name="_R">#REF!</definedName>
    <definedName name="_Ref1">#REF!</definedName>
    <definedName name="_Ref2">#REF!</definedName>
    <definedName name="_Ref3">#REF!</definedName>
    <definedName name="_Ref4">#REF!</definedName>
    <definedName name="_Ref5">#REF!</definedName>
    <definedName name="_Ref6">#REF!</definedName>
    <definedName name="_Ref7">#REF!</definedName>
    <definedName name="_Regression_Int" hidden="1">1</definedName>
    <definedName name="_roe97">#REF!</definedName>
    <definedName name="_S">#REF!</definedName>
    <definedName name="_S_2">#REF!</definedName>
    <definedName name="_S_5">"'file://Makess121/Documents and Settings/Satish Kanwar/Local Settings/Temporary Internet Files/OLK6A/Documents and Settings/Owner/My Documents/BS - 2004-05/BS 28.02.2005 STL - W.xls'#$B_Sheet.$#REF!$#REF!"</definedName>
    <definedName name="_s3" localSheetId="13" hidden="1">{#N/A,#N/A,FALSE,"196126-0690";#N/A,#N/A,FALSE,"196126-0690";#N/A,#N/A,FALSE,"1961165-0201"}</definedName>
    <definedName name="_s3" localSheetId="9" hidden="1">{#N/A,#N/A,FALSE,"196126-0690";#N/A,#N/A,FALSE,"196126-0690";#N/A,#N/A,FALSE,"1961165-0201"}</definedName>
    <definedName name="_s3" hidden="1">{#N/A,#N/A,FALSE,"196126-0690";#N/A,#N/A,FALSE,"196126-0690";#N/A,#N/A,FALSE,"1961165-0201"}</definedName>
    <definedName name="_sat10">#REF!</definedName>
    <definedName name="_sat12">#REF!</definedName>
    <definedName name="_sat14">#REF!</definedName>
    <definedName name="_sat16">#REF!</definedName>
    <definedName name="_sat20">#REF!</definedName>
    <definedName name="_sat8">#REF!</definedName>
    <definedName name="_SCH1">#REF!</definedName>
    <definedName name="_SCH10">#REF!</definedName>
    <definedName name="_SCH11">#REF!</definedName>
    <definedName name="_SCH13">#REF!</definedName>
    <definedName name="_SCH2">#REF!</definedName>
    <definedName name="_SCH3">#REF!</definedName>
    <definedName name="_SCH4">#REF!</definedName>
    <definedName name="_SCH5">#REF!</definedName>
    <definedName name="_SCH6">#REF!</definedName>
    <definedName name="_SCH7">#REF!</definedName>
    <definedName name="_SH12">#REF!</definedName>
    <definedName name="_Sort" localSheetId="9" hidden="1">#REF!</definedName>
    <definedName name="_Sort" hidden="1">#REF!</definedName>
    <definedName name="_sua20">#REF!</definedName>
    <definedName name="_sua30">#REF!</definedName>
    <definedName name="_T">#REF!</definedName>
    <definedName name="_T_2">#REF!</definedName>
    <definedName name="_T_5">"'file://Makess121/Documents and Settings/Satish Kanwar/Local Settings/Temporary Internet Files/OLK6A/Documents and Settings/Owner/My Documents/BS - 2004-05/BS 28.02.2005 STL - W.xls'#$B_Sheet.$#REF!$#REF!"</definedName>
    <definedName name="_Table1_In1" localSheetId="9" hidden="1">#REF!</definedName>
    <definedName name="_Table1_In1" hidden="1">#REF!</definedName>
    <definedName name="_Table1_Out" localSheetId="9" hidden="1">#REF!</definedName>
    <definedName name="_Table1_Out" hidden="1">#REF!</definedName>
    <definedName name="_Table2_In1" localSheetId="9" hidden="1">#REF!</definedName>
    <definedName name="_Table2_In1" hidden="1">#REF!</definedName>
    <definedName name="_Table2_Out" hidden="1">#REF!</definedName>
    <definedName name="_TB310396">#REF!</definedName>
    <definedName name="_vbt150">#REF!</definedName>
    <definedName name="_vbt200">#REF!</definedName>
    <definedName name="_vbt210">#REF!</definedName>
    <definedName name="_vbt300">#REF!</definedName>
    <definedName name="_vbt400">#REF!</definedName>
    <definedName name="_VS1">#REF!</definedName>
    <definedName name="_VS2">#REF!</definedName>
    <definedName name="_vxm100">#REF!</definedName>
    <definedName name="_vxm300">#REF!</definedName>
    <definedName name="_vxm500">#REF!</definedName>
    <definedName name="_vxm75">#REF!</definedName>
    <definedName name="_WCS_?__">#N/A</definedName>
    <definedName name="_WDC_?__">#REF!</definedName>
    <definedName name="_WDR_?__">#REF!</definedName>
    <definedName name="_wer" localSheetId="9" hidden="1">#REF!</definedName>
    <definedName name="_wer" hidden="1">#REF!</definedName>
    <definedName name="_WGDPN_NWYQQ_PP">#REF!</definedName>
    <definedName name="_WIC_?__">#REF!</definedName>
    <definedName name="_wil" hidden="1">#REF!</definedName>
    <definedName name="_WIR_?__" localSheetId="13">#REF!</definedName>
    <definedName name="_WIR_?__">#REF!</definedName>
    <definedName name="_WS1">#REF!</definedName>
    <definedName name="_WXLA3___?__Q">#N/A</definedName>
    <definedName name="_WXLB0___?__Q" localSheetId="13">#REF!</definedName>
    <definedName name="_WXLB0___?__Q">#REF!</definedName>
    <definedName name="_WXLB2___?__Q" localSheetId="13">#REF!</definedName>
    <definedName name="_WXLB2___?__Q">#REF!</definedName>
    <definedName name="_X" localSheetId="13">#REF!</definedName>
    <definedName name="_X">#REF!</definedName>
    <definedName name="_X_2" localSheetId="13">#REF!</definedName>
    <definedName name="_X_2">#REF!</definedName>
    <definedName name="_X_5">"'file://Makess121/Documents and Settings/Satish Kanwar/Local Settings/Temporary Internet Files/OLK6A/Documents and Settings/Owner/My Documents/BS - 2004-05/BS 28.02.2005 STL - W.xls'#$B_Sheet.$#REF!$#REF!"</definedName>
    <definedName name="_Z">#REF!</definedName>
    <definedName name="_Z_2">#REF!</definedName>
    <definedName name="_Z_5">"'file://Makess121/Documents and Settings/Satish Kanwar/Local Settings/Temporary Internet Files/OLK6A/Documents and Settings/Owner/My Documents/BS - 2004-05/BS 28.02.2005 STL - W.xls'#$B_Sheet.$#REF!$#REF!"</definedName>
    <definedName name="a">#REF!</definedName>
    <definedName name="A_2">#REF!</definedName>
    <definedName name="A_c">#REF!</definedName>
    <definedName name="A_Rodricks">#REF!</definedName>
    <definedName name="a277Print_Titles">#REF!</definedName>
    <definedName name="A3縦で印刷しま">#REF!</definedName>
    <definedName name="A4横で印刷しま">#REF!</definedName>
    <definedName name="A4縦で印刷しま">#N/A</definedName>
    <definedName name="aa">#REF!</definedName>
    <definedName name="aaa" localSheetId="13" hidden="1">{#N/A,#N/A,FALSE,"Staffnos &amp; cost"}</definedName>
    <definedName name="aaa" localSheetId="9" hidden="1">{#N/A,#N/A,FALSE,"Staffnos &amp; cost"}</definedName>
    <definedName name="aaa" hidden="1">{#N/A,#N/A,FALSE,"Staffnos &amp; cost"}</definedName>
    <definedName name="aaaa" localSheetId="13" hidden="1">{#N/A,#N/A,FALSE,"인원";#N/A,#N/A,FALSE,"비용2";#N/A,#N/A,FALSE,"비용1";#N/A,#N/A,FALSE,"비용";#N/A,#N/A,FALSE,"보증2";#N/A,#N/A,FALSE,"보증1";#N/A,#N/A,FALSE,"보증";#N/A,#N/A,FALSE,"손익1";#N/A,#N/A,FALSE,"손익";#N/A,#N/A,FALSE,"부서별매출";#N/A,#N/A,FALSE,"매출"}</definedName>
    <definedName name="aaaa" localSheetId="9" hidden="1">{#N/A,#N/A,FALSE,"인원";#N/A,#N/A,FALSE,"비용2";#N/A,#N/A,FALSE,"비용1";#N/A,#N/A,FALSE,"비용";#N/A,#N/A,FALSE,"보증2";#N/A,#N/A,FALSE,"보증1";#N/A,#N/A,FALSE,"보증";#N/A,#N/A,FALSE,"손익1";#N/A,#N/A,FALSE,"손익";#N/A,#N/A,FALSE,"부서별매출";#N/A,#N/A,FALSE,"매출"}</definedName>
    <definedName name="aaaa" hidden="1">{#N/A,#N/A,FALSE,"인원";#N/A,#N/A,FALSE,"비용2";#N/A,#N/A,FALSE,"비용1";#N/A,#N/A,FALSE,"비용";#N/A,#N/A,FALSE,"보증2";#N/A,#N/A,FALSE,"보증1";#N/A,#N/A,FALSE,"보증";#N/A,#N/A,FALSE,"손익1";#N/A,#N/A,FALSE,"손익";#N/A,#N/A,FALSE,"부서별매출";#N/A,#N/A,FALSE,"매출"}</definedName>
    <definedName name="aaaaa" localSheetId="13" hidden="1">{"bs",#N/A,FALSE,"BS";"pl",#N/A,FALSE,"PL"}</definedName>
    <definedName name="aaaaa" localSheetId="9" hidden="1">{"bs",#N/A,FALSE,"BS";"pl",#N/A,FALSE,"PL"}</definedName>
    <definedName name="aaaaa" hidden="1">{"bs",#N/A,FALSE,"BS";"pl",#N/A,FALSE,"PL"}</definedName>
    <definedName name="aaaaaaaa">#REF!</definedName>
    <definedName name="aABC" localSheetId="13" hidden="1">{#N/A,#N/A,FALSE,"SUMMARY REPORT"}</definedName>
    <definedName name="aABC" localSheetId="9" hidden="1">{#N/A,#N/A,FALSE,"SUMMARY REPORT"}</definedName>
    <definedName name="aABC" hidden="1">{#N/A,#N/A,FALSE,"SUMMARY REPORT"}</definedName>
    <definedName name="aaff" localSheetId="13" hidden="1">{#N/A,#N/A,FALSE,"SUMMARY REPORT"}</definedName>
    <definedName name="aaff" localSheetId="9" hidden="1">{#N/A,#N/A,FALSE,"SUMMARY REPORT"}</definedName>
    <definedName name="aaff" hidden="1">{#N/A,#N/A,FALSE,"SUMMARY REPORT"}</definedName>
    <definedName name="aasd" localSheetId="13" hidden="1">{#N/A,#N/A,TRUE,"BT M200 da 10x20"}</definedName>
    <definedName name="aasd" localSheetId="9" hidden="1">{#N/A,#N/A,TRUE,"BT M200 da 10x20"}</definedName>
    <definedName name="aasd" hidden="1">{#N/A,#N/A,TRUE,"BT M200 da 10x20"}</definedName>
    <definedName name="ab">#REF!</definedName>
    <definedName name="ABBOR">#REF!</definedName>
    <definedName name="abc">#REF!</definedName>
    <definedName name="abcanbv" localSheetId="13" hidden="1">{#N/A,#N/A,FALSE,"SUMMARY REPORT"}</definedName>
    <definedName name="abcanbv" localSheetId="9" hidden="1">{#N/A,#N/A,FALSE,"SUMMARY REPORT"}</definedName>
    <definedName name="abcanbv" hidden="1">{#N/A,#N/A,FALSE,"SUMMARY REPORT"}</definedName>
    <definedName name="abcd">#REF!</definedName>
    <definedName name="abcde">#REF!</definedName>
    <definedName name="ABCDF" localSheetId="13" hidden="1">{#N/A,#N/A,FALSE,"SUMMARY REPORT"}</definedName>
    <definedName name="ABCDF" localSheetId="9" hidden="1">{#N/A,#N/A,FALSE,"SUMMARY REPORT"}</definedName>
    <definedName name="ABCDF" hidden="1">{#N/A,#N/A,FALSE,"SUMMARY REPORT"}</definedName>
    <definedName name="ABCF" localSheetId="13" hidden="1">{#N/A,#N/A,FALSE,"SUMMARY REPORT"}</definedName>
    <definedName name="ABCF" localSheetId="9" hidden="1">{#N/A,#N/A,FALSE,"SUMMARY REPORT"}</definedName>
    <definedName name="ABCF" hidden="1">{#N/A,#N/A,FALSE,"SUMMARY REPORT"}</definedName>
    <definedName name="abhi" localSheetId="13" hidden="1">{#N/A,#N/A,FALSE,"SUMMARY REPORT"}</definedName>
    <definedName name="abhi" localSheetId="9" hidden="1">{#N/A,#N/A,FALSE,"SUMMARY REPORT"}</definedName>
    <definedName name="abhi" hidden="1">{#N/A,#N/A,FALSE,"SUMMARY REPORT"}</definedName>
    <definedName name="ABMAR">#REF!</definedName>
    <definedName name="ABOCT">#REF!</definedName>
    <definedName name="ABSORP">#REF!</definedName>
    <definedName name="ABSORPTOP">#REF!</definedName>
    <definedName name="ABSPRINT">#REF!</definedName>
    <definedName name="ABTOP">#REF!</definedName>
    <definedName name="ABZ" localSheetId="13" hidden="1">{#N/A,#N/A,FALSE,"SUMMARY REPORT"}</definedName>
    <definedName name="ABZ" localSheetId="9" hidden="1">{#N/A,#N/A,FALSE,"SUMMARY REPORT"}</definedName>
    <definedName name="ABZ" hidden="1">{#N/A,#N/A,FALSE,"SUMMARY REPORT"}</definedName>
    <definedName name="ac">#REF!</definedName>
    <definedName name="AC_PA" localSheetId="13">#REF!</definedName>
    <definedName name="AC_PA">#REF!</definedName>
    <definedName name="acb" localSheetId="13" hidden="1">{#N/A,#N/A,FALSE,"SUMMARY REPORT"}</definedName>
    <definedName name="acb" localSheetId="9" hidden="1">{#N/A,#N/A,FALSE,"SUMMARY REPORT"}</definedName>
    <definedName name="acb" hidden="1">{#N/A,#N/A,FALSE,"SUMMARY REPORT"}</definedName>
    <definedName name="acc">#REF!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"C:\WORK BASE\tpds0409.mdb"</definedName>
    <definedName name="accfd" localSheetId="13" hidden="1">{#N/A,#N/A,FALSE,"SUMMARY REPORT"}</definedName>
    <definedName name="accfd" localSheetId="9" hidden="1">{#N/A,#N/A,FALSE,"SUMMARY REPORT"}</definedName>
    <definedName name="accfd" hidden="1">{#N/A,#N/A,FALSE,"SUMMARY REPORT"}</definedName>
    <definedName name="Account_Balance">#REF!</definedName>
    <definedName name="ACCOUNTEDPERIODTYPE1">#REF!</definedName>
    <definedName name="ACCOUNTEDPERIODTYPE2">#REF!</definedName>
    <definedName name="ACCOUNTEDPERIODTYPE3">#REF!</definedName>
    <definedName name="ACCOUNTEDPERIODTYPE4">#REF!</definedName>
    <definedName name="ACCOUNTEDPERIODTYPE5">#REF!</definedName>
    <definedName name="ACCOUNTEDPERIODTYPE6">#REF!</definedName>
    <definedName name="ACCOUNTEDPERIODTYPE7">#REF!</definedName>
    <definedName name="ACDE" localSheetId="13" hidden="1">{#N/A,#N/A,FALSE,"SUMMARY REPORT"}</definedName>
    <definedName name="ACDE" localSheetId="9" hidden="1">{#N/A,#N/A,FALSE,"SUMMARY REPORT"}</definedName>
    <definedName name="ACDE" hidden="1">{#N/A,#N/A,FALSE,"SUMMARY REPORT"}</definedName>
    <definedName name="ACDS" localSheetId="13" hidden="1">{#N/A,#N/A,FALSE,"SUMMARY REPORT"}</definedName>
    <definedName name="ACDS" localSheetId="9" hidden="1">{#N/A,#N/A,FALSE,"SUMMARY REPORT"}</definedName>
    <definedName name="ACDS" hidden="1">{#N/A,#N/A,FALSE,"SUMMARY REPORT"}</definedName>
    <definedName name="acg" localSheetId="13" hidden="1">{#N/A,#N/A,FALSE,"SUMMARY REPORT"}</definedName>
    <definedName name="acg" localSheetId="9" hidden="1">{#N/A,#N/A,FALSE,"SUMMARY REPORT"}</definedName>
    <definedName name="acg" hidden="1">{#N/A,#N/A,FALSE,"SUMMARY REPORT"}</definedName>
    <definedName name="acq" localSheetId="13" hidden="1">{#N/A,#N/A,FALSE,"SUMMARY REPORT"}</definedName>
    <definedName name="acq" localSheetId="9" hidden="1">{#N/A,#N/A,FALSE,"SUMMARY REPORT"}</definedName>
    <definedName name="acq" hidden="1">{#N/A,#N/A,FALSE,"SUMMARY REPORT"}</definedName>
    <definedName name="Act_Qty">#REF!</definedName>
    <definedName name="Act_Rate">#REF!</definedName>
    <definedName name="Actgtax">#REF!</definedName>
    <definedName name="ACTPRINT">#REF!</definedName>
    <definedName name="Actual">#REF!</definedName>
    <definedName name="Actual_Mix">#REF!</definedName>
    <definedName name="Actual_Qty_in_budgetd_Mix">#REF!</definedName>
    <definedName name="Actual_Quantity">#REF!</definedName>
    <definedName name="Actual_Rate">#REF!</definedName>
    <definedName name="Actual_Value">#REF!</definedName>
    <definedName name="ACwvu.a." localSheetId="9" hidden="1">#REF!</definedName>
    <definedName name="ACwvu.a." hidden="1">#REF!</definedName>
    <definedName name="ad" localSheetId="13" hidden="1">{#N/A,#N/A,FALSE,"Status of Projects";#N/A,#N/A,FALSE,"CEA-TEC";#N/A,#N/A,FALSE,"U-Constr.";#N/A,#N/A,FALSE,"summary";#N/A,#N/A,FALSE,"PPP-3 yrs"}</definedName>
    <definedName name="ad" localSheetId="9" hidden="1">{#N/A,#N/A,FALSE,"Status of Projects";#N/A,#N/A,FALSE,"CEA-TEC";#N/A,#N/A,FALSE,"U-Constr.";#N/A,#N/A,FALSE,"summary";#N/A,#N/A,FALSE,"PPP-3 yrs"}</definedName>
    <definedName name="ad" hidden="1">{#N/A,#N/A,FALSE,"Status of Projects";#N/A,#N/A,FALSE,"CEA-TEC";#N/A,#N/A,FALSE,"U-Constr.";#N/A,#N/A,FALSE,"summary";#N/A,#N/A,FALSE,"PPP-3 yrs"}</definedName>
    <definedName name="ad_1" localSheetId="13" hidden="1">{#N/A,#N/A,FALSE,"Status of Projects";#N/A,#N/A,FALSE,"CEA-TEC";#N/A,#N/A,FALSE,"U-Constr.";#N/A,#N/A,FALSE,"summary";#N/A,#N/A,FALSE,"PPP-3 yrs"}</definedName>
    <definedName name="ad_1" localSheetId="9" hidden="1">{#N/A,#N/A,FALSE,"Status of Projects";#N/A,#N/A,FALSE,"CEA-TEC";#N/A,#N/A,FALSE,"U-Constr.";#N/A,#N/A,FALSE,"summary";#N/A,#N/A,FALSE,"PPP-3 yrs"}</definedName>
    <definedName name="ad_1" hidden="1">{#N/A,#N/A,FALSE,"Status of Projects";#N/A,#N/A,FALSE,"CEA-TEC";#N/A,#N/A,FALSE,"U-Constr.";#N/A,#N/A,FALSE,"summary";#N/A,#N/A,FALSE,"PPP-3 yrs"}</definedName>
    <definedName name="addl1">#REF!</definedName>
    <definedName name="addl2">#REF!</definedName>
    <definedName name="ADJDRC">#REF!</definedName>
    <definedName name="ADJDRC1">#REF!</definedName>
    <definedName name="ADMIN_EXP" localSheetId="13">#REF!</definedName>
    <definedName name="ADMIN_EXP">#REF!</definedName>
    <definedName name="AdminRelated" localSheetId="13">#REF!</definedName>
    <definedName name="AdminRelated">#REF!</definedName>
    <definedName name="ADRC">#REF!</definedName>
    <definedName name="adrga" localSheetId="13">#REF!</definedName>
    <definedName name="adrga">#REF!</definedName>
    <definedName name="ads" localSheetId="13" hidden="1">{#N/A,#N/A,FALSE,"Aging Summary";#N/A,#N/A,FALSE,"Ratio Analysis";#N/A,#N/A,FALSE,"Test 120 Day Accts";#N/A,#N/A,FALSE,"Tickmarks"}</definedName>
    <definedName name="ads" localSheetId="9" hidden="1">{#N/A,#N/A,FALSE,"Aging Summary";#N/A,#N/A,FALSE,"Ratio Analysis";#N/A,#N/A,FALSE,"Test 120 Day Accts";#N/A,#N/A,FALSE,"Tickmarks"}</definedName>
    <definedName name="ads" hidden="1">{#N/A,#N/A,FALSE,"Aging Summary";#N/A,#N/A,FALSE,"Ratio Analysis";#N/A,#N/A,FALSE,"Test 120 Day Accts";#N/A,#N/A,FALSE,"Tickmarks"}</definedName>
    <definedName name="ADT">#REF!</definedName>
    <definedName name="advance" localSheetId="13">#REF!</definedName>
    <definedName name="advance">#REF!</definedName>
    <definedName name="advances" localSheetId="13">#REF!</definedName>
    <definedName name="advances" localSheetId="9">"#REF!"</definedName>
    <definedName name="advances">#REF!</definedName>
    <definedName name="advstaff" localSheetId="13">#REF!</definedName>
    <definedName name="advstaff">#REF!</definedName>
    <definedName name="aefsdfsd" localSheetId="9" hidden="1">#REF!</definedName>
    <definedName name="aefsdfsd" hidden="1">#REF!</definedName>
    <definedName name="aer" localSheetId="13" hidden="1">{#N/A,#N/A,FALSE,"SUMMARY REPORT"}</definedName>
    <definedName name="aer" localSheetId="9" hidden="1">{#N/A,#N/A,FALSE,"SUMMARY REPORT"}</definedName>
    <definedName name="aer" hidden="1">{#N/A,#N/A,FALSE,"SUMMARY REPORT"}</definedName>
    <definedName name="aerewrw4e" hidden="1">#REF!</definedName>
    <definedName name="aersrwe" hidden="1">#REF!</definedName>
    <definedName name="aertert">#REF!</definedName>
    <definedName name="aerwer" localSheetId="9" hidden="1">#REF!</definedName>
    <definedName name="aerwer" hidden="1">#REF!</definedName>
    <definedName name="aet">#REF!</definedName>
    <definedName name="aet4t">#REF!</definedName>
    <definedName name="aetga">#REF!</definedName>
    <definedName name="aetq4t">#REF!</definedName>
    <definedName name="aey">#REF!</definedName>
    <definedName name="AEY45AY">#REF!</definedName>
    <definedName name="AEYA5Y">#REF!</definedName>
    <definedName name="aeyae">#REF!</definedName>
    <definedName name="aeyAEY">#REF!</definedName>
    <definedName name="AEYAY">#REF!</definedName>
    <definedName name="AEYRAY">#REF!</definedName>
    <definedName name="aeyrq">#REF!</definedName>
    <definedName name="aeyt">#REF!</definedName>
    <definedName name="AEYY">#REF!</definedName>
    <definedName name="afdfsdfsd" localSheetId="13" hidden="1">#REF!</definedName>
    <definedName name="afdfsdfsd" hidden="1">#REF!</definedName>
    <definedName name="afjan" localSheetId="13" hidden="1">{#N/A,#N/A,FALSE,"196126-0690";#N/A,#N/A,FALSE,"196126-0690";#N/A,#N/A,FALSE,"1961165-0201"}</definedName>
    <definedName name="afjan" localSheetId="9" hidden="1">{#N/A,#N/A,FALSE,"196126-0690";#N/A,#N/A,FALSE,"196126-0690";#N/A,#N/A,FALSE,"1961165-0201"}</definedName>
    <definedName name="afjan" hidden="1">{#N/A,#N/A,FALSE,"196126-0690";#N/A,#N/A,FALSE,"196126-0690";#N/A,#N/A,FALSE,"1961165-0201"}</definedName>
    <definedName name="AFS" localSheetId="13" hidden="1">{#N/A,#N/A,FALSE,"SUMMARY REPORT"}</definedName>
    <definedName name="AFS" localSheetId="9" hidden="1">{#N/A,#N/A,FALSE,"SUMMARY REPORT"}</definedName>
    <definedName name="AFS" hidden="1">{#N/A,#N/A,FALSE,"SUMMARY REPORT"}</definedName>
    <definedName name="afsdfsdfds" hidden="1">#REF!</definedName>
    <definedName name="afsdfsdgfsd" hidden="1">#REF!</definedName>
    <definedName name="ag">#REF!</definedName>
    <definedName name="AGE">#REF!</definedName>
    <definedName name="agea">#REF!</definedName>
    <definedName name="agentwiseeb" localSheetId="13">#REF!</definedName>
    <definedName name="agentwiseeb">#REF!</definedName>
    <definedName name="aho" localSheetId="13">#REF!</definedName>
    <definedName name="aho">#REF!</definedName>
    <definedName name="AIMTA">#REF!</definedName>
    <definedName name="air">#REF!</definedName>
    <definedName name="aircompressor" localSheetId="13">#REF!</definedName>
    <definedName name="aircompressor">#REF!</definedName>
    <definedName name="AIRLINE">#REF!</definedName>
    <definedName name="aje" localSheetId="13" hidden="1">{#N/A,#N/A,FALSE,"SUMMARY REPORT"}</definedName>
    <definedName name="aje" localSheetId="9" hidden="1">{#N/A,#N/A,FALSE,"SUMMARY REPORT"}</definedName>
    <definedName name="aje" hidden="1">{#N/A,#N/A,FALSE,"SUMMARY REPORT"}</definedName>
    <definedName name="Alcohols__Volume__Units">#REF!</definedName>
    <definedName name="ALL" localSheetId="13">#REF!</definedName>
    <definedName name="ALL">#REF!</definedName>
    <definedName name="All_minus_Cal" localSheetId="13">#REF!,#REF!,#REF!,#REF!</definedName>
    <definedName name="All_minus_Cal">#REF!,#REF!,#REF!,#REF!</definedName>
    <definedName name="AllBranches">#REF!</definedName>
    <definedName name="AllIndiaTotal">#REF!</definedName>
    <definedName name="Alllocations">#REF!</definedName>
    <definedName name="ALOK" localSheetId="13" hidden="1">{"DJH3",#N/A,FALSE,"PFL00805";"PJB3",#N/A,FALSE,"PFL00805";"JMD3",#N/A,FALSE,"PFL00805";"DNB3",#N/A,FALSE,"PFL00805";"MJP3",#N/A,FALSE,"PFL00805";"RAB3",#N/A,FALSE,"PFL00805";"GJW3",#N/A,FALSE,"PFL00805";"MASTER3",#N/A,FALSE,"PFL00805"}</definedName>
    <definedName name="ALOK" localSheetId="9" hidden="1">{"DJH3",#N/A,FALSE,"PFL00805";"PJB3",#N/A,FALSE,"PFL00805";"JMD3",#N/A,FALSE,"PFL00805";"DNB3",#N/A,FALSE,"PFL00805";"MJP3",#N/A,FALSE,"PFL00805";"RAB3",#N/A,FALSE,"PFL00805";"GJW3",#N/A,FALSE,"PFL00805";"MASTER3",#N/A,FALSE,"PFL00805"}</definedName>
    <definedName name="ALOK" hidden="1">{"DJH3",#N/A,FALSE,"PFL00805";"PJB3",#N/A,FALSE,"PFL00805";"JMD3",#N/A,FALSE,"PFL00805";"DNB3",#N/A,FALSE,"PFL00805";"MJP3",#N/A,FALSE,"PFL00805";"RAB3",#N/A,FALSE,"PFL00805";"GJW3",#N/A,FALSE,"PFL00805";"MASTER3",#N/A,FALSE,"PFL00805"}</definedName>
    <definedName name="ALPV">#REF!</definedName>
    <definedName name="AMG_AS" localSheetId="13">#REF!</definedName>
    <definedName name="AMG_AS">#REF!</definedName>
    <definedName name="AMG_PA" localSheetId="13">#REF!</definedName>
    <definedName name="AMG_PA">#REF!</definedName>
    <definedName name="amit" localSheetId="13" hidden="1">{"Balance Sheet",#N/A,FALSE,"Balsheet";"Assets Schedule",#N/A,FALSE,"Balsheet";"Abstract",#N/A,FALSE,"Balsheet"}</definedName>
    <definedName name="amit" localSheetId="9" hidden="1">{"Balance Sheet",#N/A,FALSE,"Balsheet";"Assets Schedule",#N/A,FALSE,"Balsheet";"Abstract",#N/A,FALSE,"Balsheet"}</definedName>
    <definedName name="amit" hidden="1">{"Balance Sheet",#N/A,FALSE,"Balsheet";"Assets Schedule",#N/A,FALSE,"Balsheet";"Abstract",#N/A,FALSE,"Balsheet"}</definedName>
    <definedName name="amt" localSheetId="13" hidden="1">{"Balance Sheet",#N/A,FALSE,"Balsheet";"Assets Schedule",#N/A,FALSE,"Balsheet";"Abstract",#N/A,FALSE,"Balsheet"}</definedName>
    <definedName name="amt" localSheetId="9" hidden="1">{"Balance Sheet",#N/A,FALSE,"Balsheet";"Assets Schedule",#N/A,FALSE,"Balsheet";"Abstract",#N/A,FALSE,"Balsheet"}</definedName>
    <definedName name="amt" hidden="1">{"Balance Sheet",#N/A,FALSE,"Balsheet";"Assets Schedule",#N/A,FALSE,"Balsheet";"Abstract",#N/A,FALSE,"Balsheet"}</definedName>
    <definedName name="AN_P1">#REF!</definedName>
    <definedName name="Ana">#REF!</definedName>
    <definedName name="Analysis">#REF!</definedName>
    <definedName name="anil" localSheetId="13">#REF!</definedName>
    <definedName name="anil">#REF!</definedName>
    <definedName name="ANJU_SHENOY" localSheetId="13">#REF!</definedName>
    <definedName name="ANJU_SHENOY">#REF!</definedName>
    <definedName name="AnnAvail" localSheetId="13">#REF!</definedName>
    <definedName name="AnnAvail">#REF!</definedName>
    <definedName name="AnnCapacity">#REF!</definedName>
    <definedName name="ANNEX">#REF!</definedName>
    <definedName name="annex_c">#REF!</definedName>
    <definedName name="annex_c1">#REF!</definedName>
    <definedName name="annII"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II"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I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PUR">#REF!</definedName>
    <definedName name="anscount" hidden="1">1</definedName>
    <definedName name="AOS___Volume__Units">#REF!</definedName>
    <definedName name="AOS__Price__Rs___Unit">#REF!</definedName>
    <definedName name="ap">#REF!</definedName>
    <definedName name="aparna" localSheetId="13">#REF!</definedName>
    <definedName name="aparna">#REF!</definedName>
    <definedName name="APOL" localSheetId="13">#REF!</definedName>
    <definedName name="APOL">#REF!</definedName>
    <definedName name="APPSUSERNAME1" localSheetId="13">#REF!</definedName>
    <definedName name="APPSUSERNAME1">#REF!</definedName>
    <definedName name="APPSUSERNAME2">#REF!</definedName>
    <definedName name="APPSUSERNAME3">#REF!</definedName>
    <definedName name="APPSUSERNAME4">#REF!</definedName>
    <definedName name="APPSUSERNAME5">#REF!</definedName>
    <definedName name="APPSUSERNAME6">#REF!</definedName>
    <definedName name="APPSUSERNAME7">#REF!</definedName>
    <definedName name="APQP">#REF!</definedName>
    <definedName name="apr">#REF!</definedName>
    <definedName name="APRDATA?" localSheetId="13">#REF!</definedName>
    <definedName name="APRDATA?">#REF!</definedName>
    <definedName name="APRIL">#N/A</definedName>
    <definedName name="APRIL97" localSheetId="13">#REF!</definedName>
    <definedName name="APRIL97">#REF!</definedName>
    <definedName name="ar"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r"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r"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RA_Threshold">#REF!</definedName>
    <definedName name="ARD">#REF!</definedName>
    <definedName name="Area">#REF!,#REF!,#REF!</definedName>
    <definedName name="arey" localSheetId="13">#REF!</definedName>
    <definedName name="arey">#REF!</definedName>
    <definedName name="areya" localSheetId="13">#REF!</definedName>
    <definedName name="areya">#REF!</definedName>
    <definedName name="arga">#REF!</definedName>
    <definedName name="Argentina">#REF!</definedName>
    <definedName name="arhyae" localSheetId="13">#REF!</definedName>
    <definedName name="arhyae">#REF!</definedName>
    <definedName name="ARM">#REF!</definedName>
    <definedName name="ARP_Threshold">#REF!</definedName>
    <definedName name="arsdf" localSheetId="13" hidden="1">{#N/A,#N/A,FALSE,"Aging Summary";#N/A,#N/A,FALSE,"Ratio Analysis";#N/A,#N/A,FALSE,"Test 120 Day Accts";#N/A,#N/A,FALSE,"Tickmarks"}</definedName>
    <definedName name="arsdf" localSheetId="9" hidden="1">{#N/A,#N/A,FALSE,"Aging Summary";#N/A,#N/A,FALSE,"Ratio Analysis";#N/A,#N/A,FALSE,"Test 120 Day Accts";#N/A,#N/A,FALSE,"Tickmarks"}</definedName>
    <definedName name="arsdf" hidden="1">{#N/A,#N/A,FALSE,"Aging Summary";#N/A,#N/A,FALSE,"Ratio Analysis";#N/A,#N/A,FALSE,"Test 120 Day Accts";#N/A,#N/A,FALSE,"Tickmarks"}</definedName>
    <definedName name="ARTICLE1">#REF!</definedName>
    <definedName name="article3">#REF!</definedName>
    <definedName name="aryaey">#REF!</definedName>
    <definedName name="AS" localSheetId="13">#REF!</definedName>
    <definedName name="AS">#REF!</definedName>
    <definedName name="AS_PA" localSheetId="13">#REF!</definedName>
    <definedName name="AS_PA">#REF!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localSheetId="13" hidden="1">{#N/A,#N/A,FALSE,"Aging Summary";#N/A,#N/A,FALSE,"Ratio Analysis";#N/A,#N/A,FALSE,"Test 120 Day Accts";#N/A,#N/A,FALSE,"Tickmarks"}</definedName>
    <definedName name="asd" localSheetId="9" hidden="1">{#N/A,#N/A,FALSE,"Aging Summary";#N/A,#N/A,FALSE,"Ratio Analysis";#N/A,#N/A,FALSE,"Test 120 Day Accts";#N/A,#N/A,FALSE,"Tickmarks"}</definedName>
    <definedName name="asd" hidden="1">{#N/A,#N/A,FALSE,"Aging Summary";#N/A,#N/A,FALSE,"Ratio Analysis";#N/A,#N/A,FALSE,"Test 120 Day Accts";#N/A,#N/A,FALSE,"Tickmarks"}</definedName>
    <definedName name="ASDC" localSheetId="13" hidden="1">{#N/A,#N/A,FALSE,"SUMMARY REPORT"}</definedName>
    <definedName name="ASDC" localSheetId="9" hidden="1">{#N/A,#N/A,FALSE,"SUMMARY REPORT"}</definedName>
    <definedName name="ASDC" hidden="1">{#N/A,#N/A,FALSE,"SUMMARY REPORT"}</definedName>
    <definedName name="ASDF"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csd">#REF!</definedName>
    <definedName name="asdfdfdjf"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esrwerfdsf" hidden="1">#REF!</definedName>
    <definedName name="asefserwe" hidden="1">#REF!</definedName>
    <definedName name="asegt">#REF!</definedName>
    <definedName name="aser" localSheetId="13" hidden="1">{#N/A,#N/A,FALSE,"SUMMARY REPORT"}</definedName>
    <definedName name="aser" localSheetId="9" hidden="1">{#N/A,#N/A,FALSE,"SUMMARY REPORT"}</definedName>
    <definedName name="aser" hidden="1">{#N/A,#N/A,FALSE,"SUMMARY REPORT"}</definedName>
    <definedName name="aserwerw34r23" hidden="1">#REF!</definedName>
    <definedName name="aserwerwe" hidden="1">#REF!</definedName>
    <definedName name="asg">#REF!</definedName>
    <definedName name="ASP" localSheetId="13">#REF!</definedName>
    <definedName name="ASP">#REF!</definedName>
    <definedName name="ASP_Tgt" localSheetId="13">#REF!</definedName>
    <definedName name="ASP_Tgt">#REF!</definedName>
    <definedName name="ass" localSheetId="13" hidden="1">{#N/A,#N/A,FALSE,"SUMMARY REPORT"}</definedName>
    <definedName name="ass" localSheetId="9" hidden="1">{#N/A,#N/A,FALSE,"SUMMARY REPORT"}</definedName>
    <definedName name="ass" hidden="1">{#N/A,#N/A,FALSE,"SUMMARY REPORT"}</definedName>
    <definedName name="ass_cc">#REF!</definedName>
    <definedName name="ASSET">#REF!</definedName>
    <definedName name="Asset_Group_new">#REF!,#REF!,#REF!,#REF!,#REF!,#REF!,#REF!,#REF!</definedName>
    <definedName name="ASSETCLASS">#REF!</definedName>
    <definedName name="AssetGroup2">#REF!</definedName>
    <definedName name="AssetGRP">#REF!</definedName>
    <definedName name="Assets">SUM(#REF!)</definedName>
    <definedName name="ASSUMPTION" localSheetId="13">#REF!</definedName>
    <definedName name="ASSUMPTION">#REF!</definedName>
    <definedName name="Assy">#REF!</definedName>
    <definedName name="ASSY_207" localSheetId="13">#REF!</definedName>
    <definedName name="ASSY_207">#REF!</definedName>
    <definedName name="ASSY1" localSheetId="13">#REF!</definedName>
    <definedName name="ASSY1">#REF!</definedName>
    <definedName name="ASSY2" localSheetId="13">#REF!</definedName>
    <definedName name="ASSY2">#REF!</definedName>
    <definedName name="ASSYBOR">#REF!</definedName>
    <definedName name="ASSYWTD">#REF!</definedName>
    <definedName name="ASTCT">#REF!</definedName>
    <definedName name="ASTGRP">#REF!</definedName>
    <definedName name="ASTGRP1">#REF!</definedName>
    <definedName name="AT" localSheetId="13" hidden="1">{#N/A,#N/A,FALSE,"인원";#N/A,#N/A,FALSE,"비용2";#N/A,#N/A,FALSE,"비용1";#N/A,#N/A,FALSE,"비용";#N/A,#N/A,FALSE,"보증2";#N/A,#N/A,FALSE,"보증1";#N/A,#N/A,FALSE,"보증";#N/A,#N/A,FALSE,"손익1";#N/A,#N/A,FALSE,"손익";#N/A,#N/A,FALSE,"부서별매출";#N/A,#N/A,FALSE,"매출"}</definedName>
    <definedName name="AT" localSheetId="9"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tat">#REF!</definedName>
    <definedName name="ath" localSheetId="13" hidden="1">{#N/A,#N/A,FALSE,"SUMMARY REPORT"}</definedName>
    <definedName name="ath" localSheetId="9" hidden="1">{#N/A,#N/A,FALSE,"SUMMARY REPORT"}</definedName>
    <definedName name="ath" hidden="1">{#N/A,#N/A,FALSE,"SUMMARY REPORT"}</definedName>
    <definedName name="atish"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u" localSheetId="13" hidden="1">{#N/A,#N/A,FALSE,"DATA"}</definedName>
    <definedName name="au" localSheetId="9" hidden="1">{#N/A,#N/A,FALSE,"DATA"}</definedName>
    <definedName name="au" hidden="1">{#N/A,#N/A,FALSE,"DATA"}</definedName>
    <definedName name="AUG">#REF!</definedName>
    <definedName name="AUGDATA?">#REF!</definedName>
    <definedName name="August04">#REF!</definedName>
    <definedName name="AUS.">#REF!</definedName>
    <definedName name="AUS.___0">#REF!</definedName>
    <definedName name="AUS.___23">#REF!</definedName>
    <definedName name="AUS.___24">#REF!</definedName>
    <definedName name="AUS.___25">#REF!</definedName>
    <definedName name="AUS.___36">#REF!</definedName>
    <definedName name="Australasian_Average">#REF!</definedName>
    <definedName name="Austria">#REF!</definedName>
    <definedName name="Auto_öppna_xlquery_DClick" localSheetId="9" hidden="1">#REF!</definedName>
    <definedName name="Auto_öppna_xlquery_DClick" hidden="1">#REF!</definedName>
    <definedName name="AUTOMATION" localSheetId="13">#REF!</definedName>
    <definedName name="AUTOMATION" localSheetId="9">#REF!</definedName>
    <definedName name="AUTOMATION">#REF!</definedName>
    <definedName name="AUTOPRINT_1" localSheetId="13">#REF!</definedName>
    <definedName name="AUTOPRINT_1">#REF!</definedName>
    <definedName name="AUTOPRINT_2" localSheetId="13">#REF!</definedName>
    <definedName name="AUTOPRINT_2">#REF!</definedName>
    <definedName name="AV">#REF!</definedName>
    <definedName name="AVCD" localSheetId="13" hidden="1">{#N/A,#N/A,FALSE,"SUMMARY REPORT"}</definedName>
    <definedName name="AVCD" localSheetId="9" hidden="1">{#N/A,#N/A,FALSE,"SUMMARY REPORT"}</definedName>
    <definedName name="AVCD" hidden="1">{#N/A,#N/A,FALSE,"SUMMARY REPORT"}</definedName>
    <definedName name="Average_DSCR">#REF!</definedName>
    <definedName name="AVG_YLD">#REF!</definedName>
    <definedName name="aw" localSheetId="13" hidden="1">{#N/A,#N/A,FALSE,"SUMMARY REPORT"}</definedName>
    <definedName name="aw" localSheetId="9" hidden="1">{#N/A,#N/A,FALSE,"SUMMARY REPORT"}</definedName>
    <definedName name="aw" hidden="1">{#N/A,#N/A,FALSE,"SUMMARY REPORT"}</definedName>
    <definedName name="awe" localSheetId="13" hidden="1">{#N/A,#N/A,FALSE,"SUMMARY REPORT"}</definedName>
    <definedName name="awe" localSheetId="9" hidden="1">{#N/A,#N/A,FALSE,"SUMMARY REPORT"}</definedName>
    <definedName name="awe" hidden="1">{#N/A,#N/A,FALSE,"SUMMARY REPORT"}</definedName>
    <definedName name="awyY">#REF!</definedName>
    <definedName name="Axalto" localSheetId="13" hidden="1">{#N/A,#N/A,FALSE,"DATA"}</definedName>
    <definedName name="Axalto" localSheetId="9" hidden="1">{#N/A,#N/A,FALSE,"DATA"}</definedName>
    <definedName name="Axalto" hidden="1">{#N/A,#N/A,FALSE,"DATA"}</definedName>
    <definedName name="AY5Y">#REF!</definedName>
    <definedName name="AYAY">#REF!</definedName>
    <definedName name="AYHT">#REF!</definedName>
    <definedName name="AYSEY">#REF!</definedName>
    <definedName name="Aクロス">#N/A</definedName>
    <definedName name="B" localSheetId="13">#REF!</definedName>
    <definedName name="B" localSheetId="9">#REF!</definedName>
    <definedName name="B">#REF!</definedName>
    <definedName name="B_BALKRISHANAN" localSheetId="13">#REF!</definedName>
    <definedName name="B_BALKRISHANAN">#REF!</definedName>
    <definedName name="B_VND">0.05</definedName>
    <definedName name="B_YEN">0.1</definedName>
    <definedName name="b2s">#REF!</definedName>
    <definedName name="B4横で印刷しま">#REF!</definedName>
    <definedName name="B4縦で印刷しま">#REF!</definedName>
    <definedName name="BACK">#REF!</definedName>
    <definedName name="Back_Solve_Original">#REF!</definedName>
    <definedName name="Back_solve_selector">#REF!</definedName>
    <definedName name="Back_solve_Target">#REF!</definedName>
    <definedName name="BACKUP"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CKUP"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CKU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gg" localSheetId="13" hidden="1">{#N/A,#N/A,FALSE,"SUMMARY REPORT"}</definedName>
    <definedName name="bagg" localSheetId="9" hidden="1">{#N/A,#N/A,FALSE,"SUMMARY REPORT"}</definedName>
    <definedName name="bagg" hidden="1">{#N/A,#N/A,FALSE,"SUMMARY REPORT"}</definedName>
    <definedName name="Balance_Sheet">#REF!</definedName>
    <definedName name="BALANCE_SHEET_DATA">#REF!</definedName>
    <definedName name="balance_type">1</definedName>
    <definedName name="balance_type_1">1</definedName>
    <definedName name="BALANCESHEETGROUPING">NA()</definedName>
    <definedName name="Bang_cly">#REF!</definedName>
    <definedName name="Bang_CVC">#REF!</definedName>
    <definedName name="bang_gia">#REF!</definedName>
    <definedName name="Bang_travl">#REF!</definedName>
    <definedName name="Bangalore">#REF!</definedName>
    <definedName name="BANK">#REF!</definedName>
    <definedName name="bank_balance">#REF!</definedName>
    <definedName name="Baru" localSheetId="13" hidden="1">{#N/A,#N/A,FALSE,"DATA"}</definedName>
    <definedName name="Baru" localSheetId="9" hidden="1">{#N/A,#N/A,FALSE,"DATA"}</definedName>
    <definedName name="Baru" hidden="1">{#N/A,#N/A,FALSE,"DATA"}</definedName>
    <definedName name="base">1</definedName>
    <definedName name="BASE_YEAR">#REF!</definedName>
    <definedName name="Base_Yr">#REF!</definedName>
    <definedName name="BASEDATA">#REF!</definedName>
    <definedName name="baseyr">#REF!</definedName>
    <definedName name="basic" localSheetId="13">#REF!</definedName>
    <definedName name="basic">#REF!</definedName>
    <definedName name="BASIS_YEAR" localSheetId="13">#REF!</definedName>
    <definedName name="BASIS_YEAR">#REF!</definedName>
    <definedName name="bb" localSheetId="13">#REF!</definedName>
    <definedName name="bb">#REF!</definedName>
    <definedName name="bbb" localSheetId="9" hidden="1">#REF!</definedName>
    <definedName name="bbb" hidden="1">#REF!</definedName>
    <definedName name="BC">#REF!</definedName>
    <definedName name="bca" localSheetId="13" hidden="1">{#N/A,#N/A,FALSE,"SUMMARY REPORT"}</definedName>
    <definedName name="bca" localSheetId="9" hidden="1">{#N/A,#N/A,FALSE,"SUMMARY REPORT"}</definedName>
    <definedName name="bca" hidden="1">{#N/A,#N/A,FALSE,"SUMMARY REPORT"}</definedName>
    <definedName name="bcd" localSheetId="13" hidden="1">{#N/A,#N/A,FALSE,"SUMMARY REPORT"}</definedName>
    <definedName name="bcd" localSheetId="9" hidden="1">{#N/A,#N/A,FALSE,"SUMMARY REPORT"}</definedName>
    <definedName name="bcd" hidden="1">{#N/A,#N/A,FALSE,"SUMMARY REPORT"}</definedName>
    <definedName name="bcde" localSheetId="13" hidden="1">{#N/A,#N/A,FALSE,"SUMMARY REPORT"}</definedName>
    <definedName name="bcde" localSheetId="9" hidden="1">{#N/A,#N/A,FALSE,"SUMMARY REPORT"}</definedName>
    <definedName name="bcde" hidden="1">{#N/A,#N/A,FALSE,"SUMMARY REPORT"}</definedName>
    <definedName name="BCN">#REF!</definedName>
    <definedName name="bcr" localSheetId="13" hidden="1">{#N/A,#N/A,FALSE,"SUMMARY REPORT"}</definedName>
    <definedName name="bcr" localSheetId="9" hidden="1">{#N/A,#N/A,FALSE,"SUMMARY REPORT"}</definedName>
    <definedName name="bcr" hidden="1">{#N/A,#N/A,FALSE,"SUMMARY REPORT"}</definedName>
    <definedName name="BECA">#REF!</definedName>
    <definedName name="Beg_Bal">#REF!</definedName>
    <definedName name="begavg">#REF!</definedName>
    <definedName name="Belgium">#REF!</definedName>
    <definedName name="bentonite" localSheetId="13">#REF!</definedName>
    <definedName name="bentonite">#REF!</definedName>
    <definedName name="BetongM150">#REF!,#REF!</definedName>
    <definedName name="BetongM200">#REF!,#REF!</definedName>
    <definedName name="BetongM50">#REF!,#REF!</definedName>
    <definedName name="bf" localSheetId="13" hidden="1">{#N/A,#N/A,FALSE,"SUMMARY REPORT"}</definedName>
    <definedName name="bf" localSheetId="9" hidden="1">{#N/A,#N/A,FALSE,"SUMMARY REPORT"}</definedName>
    <definedName name="bf" hidden="1">{#N/A,#N/A,FALSE,"SUMMARY REPORT"}</definedName>
    <definedName name="BF1_">#REF!</definedName>
    <definedName name="BF2_">#REF!</definedName>
    <definedName name="BF3_">#REF!</definedName>
    <definedName name="BFBS">#REF!</definedName>
    <definedName name="BFES">#REF!</definedName>
    <definedName name="BFS">#REF!</definedName>
    <definedName name="BG_Del" hidden="1">15</definedName>
    <definedName name="BG_Ins" hidden="1">4</definedName>
    <definedName name="BG_Mod" hidden="1">6</definedName>
    <definedName name="bgy" localSheetId="13" hidden="1">{#N/A,#N/A,FALSE,"SUMMARY REPORT"}</definedName>
    <definedName name="bgy" localSheetId="9" hidden="1">{#N/A,#N/A,FALSE,"SUMMARY REPORT"}</definedName>
    <definedName name="bgy" hidden="1">{#N/A,#N/A,FALSE,"SUMMARY REPORT"}</definedName>
    <definedName name="bhasoodee">#REF!</definedName>
    <definedName name="BHIWADI1">#REF!</definedName>
    <definedName name="BHTKJHLJFK">#REF!</definedName>
    <definedName name="bhu" localSheetId="13" hidden="1">{#N/A,#N/A,FALSE,"SUMMARY REPORT"}</definedName>
    <definedName name="bhu" localSheetId="9" hidden="1">{#N/A,#N/A,FALSE,"SUMMARY REPORT"}</definedName>
    <definedName name="bhu" hidden="1">{#N/A,#N/A,FALSE,"SUMMARY REPORT"}</definedName>
    <definedName name="bi">#REF!</definedName>
    <definedName name="BILLING_RATE">#REF!</definedName>
    <definedName name="bjcdbw" localSheetId="13" hidden="1">{"'August 2000'!$A$1:$J$101"}</definedName>
    <definedName name="bjcdbw" localSheetId="9" hidden="1">{"'August 2000'!$A$1:$J$101"}</definedName>
    <definedName name="bjcdbw" hidden="1">{"'August 2000'!$A$1:$J$101"}</definedName>
    <definedName name="BLDG">#REF!</definedName>
    <definedName name="BLIST1">#REF!</definedName>
    <definedName name="blnHideRow">#N/A</definedName>
    <definedName name="blower" localSheetId="13">#REF!</definedName>
    <definedName name="blower" localSheetId="9">#REF!</definedName>
    <definedName name="blower">#REF!</definedName>
    <definedName name="BLR80IA">#N/A</definedName>
    <definedName name="BlrChemCost" localSheetId="13">#REF!</definedName>
    <definedName name="BlrChemCost">#REF!</definedName>
    <definedName name="BLRCRS" localSheetId="13">#REF!</definedName>
    <definedName name="BLRCRS">#REF!</definedName>
    <definedName name="BLRDRS">#REF!</definedName>
    <definedName name="BLROD">#REF!</definedName>
    <definedName name="BLRTB">#REF!</definedName>
    <definedName name="bnagg" localSheetId="13" hidden="1">{#N/A,#N/A,FALSE,"SUMMARY REPORT"}</definedName>
    <definedName name="bnagg" localSheetId="9" hidden="1">{#N/A,#N/A,FALSE,"SUMMARY REPORT"}</definedName>
    <definedName name="bnagg" hidden="1">{#N/A,#N/A,FALSE,"SUMMARY REPORT"}</definedName>
    <definedName name="BOB_P_M">#REF!</definedName>
    <definedName name="BOBAY_CONVEYAN">#REF!</definedName>
    <definedName name="BOD_CEIP">#REF!</definedName>
    <definedName name="BOD_OEQP">#REF!</definedName>
    <definedName name="BOM_EXTERIOR">#REF!</definedName>
    <definedName name="BOMDRS">#REF!</definedName>
    <definedName name="BOMODOC">#REF!</definedName>
    <definedName name="BOMTB">#REF!</definedName>
    <definedName name="BonusFee">#REF!</definedName>
    <definedName name="Book2">#REF!</definedName>
    <definedName name="bookings">#REF!</definedName>
    <definedName name="BOQ">#REF!</definedName>
    <definedName name="BOUG1">#REF!</definedName>
    <definedName name="BoutCns">#N/A</definedName>
    <definedName name="BRUSH1">#REF!</definedName>
    <definedName name="BS" localSheetId="9">"#REF!"</definedName>
    <definedName name="BS">#REF!</definedName>
    <definedName name="bs_abstract">#REF!</definedName>
    <definedName name="BSA">#REF!</definedName>
    <definedName name="BSblnHideRow">#N/A</definedName>
    <definedName name="BSC_Capacity">#REF!</definedName>
    <definedName name="BSC_Capacity_Ericsson">#REF!</definedName>
    <definedName name="BSC_Capacity_Motorola">#REF!</definedName>
    <definedName name="BSGROUP">#REF!</definedName>
    <definedName name="BSGrouping">#REF!</definedName>
    <definedName name="BSHistForc">#REF!</definedName>
    <definedName name="BSl">#REF!</definedName>
    <definedName name="BSpp">#REF!</definedName>
    <definedName name="bss">#REF!</definedName>
    <definedName name="BSSCH">#REF!</definedName>
    <definedName name="BSTB">NA()</definedName>
    <definedName name="BT">#REF!</definedName>
    <definedName name="btcocnhoi">#REF!</definedName>
    <definedName name="BUBAN">#N/A</definedName>
    <definedName name="bud">#REF!</definedName>
    <definedName name="budget">#REF!</definedName>
    <definedName name="Budget_Quantity" localSheetId="13">#REF!</definedName>
    <definedName name="Budget_Quantity">#REF!</definedName>
    <definedName name="Budget_Rate" localSheetId="13">#REF!</definedName>
    <definedName name="Budget_Rate">#REF!</definedName>
    <definedName name="Budget_Value" localSheetId="13">#REF!</definedName>
    <definedName name="Budget_Value">#REF!</definedName>
    <definedName name="BUDGET_YEAR">#REF!</definedName>
    <definedName name="Budgeted_Mix">#REF!</definedName>
    <definedName name="BudgetHeader">#REF!</definedName>
    <definedName name="Budgets" localSheetId="13">#REF!</definedName>
    <definedName name="Budgets">#REF!</definedName>
    <definedName name="BudgetYear">#REF!</definedName>
    <definedName name="BUIL" localSheetId="13">#REF!</definedName>
    <definedName name="BUIL">#REF!</definedName>
    <definedName name="BuiltIn_Print_Area" localSheetId="13">#REF!</definedName>
    <definedName name="BuiltIn_Print_Area">#REF!</definedName>
    <definedName name="BURGLARY">#N/A</definedName>
    <definedName name="BVA" localSheetId="13">#REF!</definedName>
    <definedName name="BVA">#REF!</definedName>
    <definedName name="BVCISUMMARY">#REF!</definedName>
    <definedName name="BYPCS">#REF!</definedName>
    <definedName name="B列幅変更">#N/A</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65" localSheetId="13">#REF!</definedName>
    <definedName name="C_165">#REF!</definedName>
    <definedName name="C_166" localSheetId="13">#REF!</definedName>
    <definedName name="C_166">#REF!</definedName>
    <definedName name="C_i" localSheetId="13">#REF!</definedName>
    <definedName name="C_i" localSheetId="9">#REF!</definedName>
    <definedName name="C_i">#REF!</definedName>
    <definedName name="C_ii" localSheetId="9">#REF!</definedName>
    <definedName name="C_ii">#REF!</definedName>
    <definedName name="C_iii" localSheetId="9">#REF!</definedName>
    <definedName name="C_iii">#REF!</definedName>
    <definedName name="C_iv" localSheetId="9">#REF!</definedName>
    <definedName name="C_iv">#REF!</definedName>
    <definedName name="C_VND">0.03</definedName>
    <definedName name="C_YEN">0.1</definedName>
    <definedName name="CA">#REF!</definedName>
    <definedName name="cab" localSheetId="13" hidden="1">{#N/A,#N/A,FALSE,"SUMMARY REPORT"}</definedName>
    <definedName name="cab" localSheetId="9" hidden="1">{#N/A,#N/A,FALSE,"SUMMARY REPORT"}</definedName>
    <definedName name="cab" hidden="1">{#N/A,#N/A,FALSE,"SUMMARY REPORT"}</definedName>
    <definedName name="Cabinet_1">#REF!</definedName>
    <definedName name="Cabinet_2">#REF!</definedName>
    <definedName name="Cabinet_3">#REF!</definedName>
    <definedName name="cal">#REF!</definedName>
    <definedName name="calc">1</definedName>
    <definedName name="calc_1">1</definedName>
    <definedName name="calculation">#REF!</definedName>
    <definedName name="Calculations">#REF!</definedName>
    <definedName name="Calcutta">#REF!</definedName>
    <definedName name="CALLS">#REF!</definedName>
    <definedName name="calls1">#REF!</definedName>
    <definedName name="Callsin" localSheetId="13">#REF!</definedName>
    <definedName name="Callsin">#REF!</definedName>
    <definedName name="callsinmonthly">#REF!</definedName>
    <definedName name="canada" localSheetId="13">#REF!</definedName>
    <definedName name="canada">#REF!</definedName>
    <definedName name="CAP" localSheetId="13">#REF!</definedName>
    <definedName name="CAP">#REF!</definedName>
    <definedName name="cap\loan" localSheetId="13">#REF!</definedName>
    <definedName name="cap\loan" localSheetId="9">"#REF!"</definedName>
    <definedName name="cap\loan">#REF!</definedName>
    <definedName name="CAPA" localSheetId="13" hidden="1">{#N/A,#N/A,FALSE,"인원";#N/A,#N/A,FALSE,"비용2";#N/A,#N/A,FALSE,"비용1";#N/A,#N/A,FALSE,"비용";#N/A,#N/A,FALSE,"보증2";#N/A,#N/A,FALSE,"보증1";#N/A,#N/A,FALSE,"보증";#N/A,#N/A,FALSE,"손익1";#N/A,#N/A,FALSE,"손익";#N/A,#N/A,FALSE,"부서별매출";#N/A,#N/A,FALSE,"매출"}</definedName>
    <definedName name="CAPA" localSheetId="9"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ch">#REF!</definedName>
    <definedName name="capchrg" localSheetId="13">#REF!</definedName>
    <definedName name="capchrg">#REF!</definedName>
    <definedName name="capchrgadj" localSheetId="13">#REF!</definedName>
    <definedName name="capchrgadj">#REF!</definedName>
    <definedName name="capex" localSheetId="13">#REF!</definedName>
    <definedName name="capex">#REF!</definedName>
    <definedName name="Capital" localSheetId="13" hidden="1">#REF!</definedName>
    <definedName name="Capital" localSheetId="9" hidden="1">#REF!</definedName>
    <definedName name="Capital" hidden="1">#REF!</definedName>
    <definedName name="capital1" localSheetId="13">#REF!</definedName>
    <definedName name="capital1">#REF!</definedName>
    <definedName name="capital97" localSheetId="13">#REF!</definedName>
    <definedName name="capital97">#REF!</definedName>
    <definedName name="capitaladj">#REF!</definedName>
    <definedName name="CapitalLink">#REF!</definedName>
    <definedName name="Capture.Capture">#N/A</definedName>
    <definedName name="Cars">#REF!</definedName>
    <definedName name="CATADEVICES" localSheetId="13">#REF!</definedName>
    <definedName name="CATADEVICES">#REF!</definedName>
    <definedName name="CATASPU">#REF!</definedName>
    <definedName name="CATEGORY_HEADER" localSheetId="13">#REF!</definedName>
    <definedName name="CATEGORY_HEADER">#REF!</definedName>
    <definedName name="CC">#REF!</definedName>
    <definedName name="CC0________TOTAL_MARKETING" localSheetId="13">#REF!</definedName>
    <definedName name="CC0________TOTAL_MARKETING">#REF!</definedName>
    <definedName name="CC0__TOTAL___FCD" localSheetId="13">#REF!</definedName>
    <definedName name="CC0__TOTAL___FCD">#REF!</definedName>
    <definedName name="CC0_1000" localSheetId="13">#REF!</definedName>
    <definedName name="CC0_1000">#REF!</definedName>
    <definedName name="CC0_1100">#REF!</definedName>
    <definedName name="CC0_1200">#REF!</definedName>
    <definedName name="CC0_1300">#REF!</definedName>
    <definedName name="CC0_1400">#REF!</definedName>
    <definedName name="CC0_1500">#REF!</definedName>
    <definedName name="CC0_1600">#REF!</definedName>
    <definedName name="CC0_1700">#REF!</definedName>
    <definedName name="CC0_1710">#REF!</definedName>
    <definedName name="CC0_1720">#REF!</definedName>
    <definedName name="CC0_1800">#REF!</definedName>
    <definedName name="CC0_1810">#REF!</definedName>
    <definedName name="CC0_1820">#REF!</definedName>
    <definedName name="CC0_1830">#REF!</definedName>
    <definedName name="CC0_1840">#REF!</definedName>
    <definedName name="CC0_1850">#REF!</definedName>
    <definedName name="CC0_1852">#REF!</definedName>
    <definedName name="CC0_2000">#REF!</definedName>
    <definedName name="CC0_2010">#REF!</definedName>
    <definedName name="CC0_2100">#REF!</definedName>
    <definedName name="CC0_2110">#REF!</definedName>
    <definedName name="CC0_2120">#REF!</definedName>
    <definedName name="CC0_2130">#REF!</definedName>
    <definedName name="CC0_2131">#REF!</definedName>
    <definedName name="CC0_2132">#REF!</definedName>
    <definedName name="CC0_2133">#REF!</definedName>
    <definedName name="CC0_2134">#REF!</definedName>
    <definedName name="CC0_2135">#REF!</definedName>
    <definedName name="CC0_2140">#REF!</definedName>
    <definedName name="CC0_2200">#REF!</definedName>
    <definedName name="CC0_2210">#REF!</definedName>
    <definedName name="CC0_2220">#REF!</definedName>
    <definedName name="CC0_2240">#REF!</definedName>
    <definedName name="CC0_2250">#REF!</definedName>
    <definedName name="CC0_9100">#REF!</definedName>
    <definedName name="CC0_9200">#REF!</definedName>
    <definedName name="CC0_9300">#REF!</definedName>
    <definedName name="CC0_9400">#REF!</definedName>
    <definedName name="CC0_TOTAL_TECHNICAL">#REF!</definedName>
    <definedName name="ccFootnote" localSheetId="13">IF([0]!BefAft=1,"","[1] The Pre-Tax Cost of Capital = After-Tax Cost of Capital/(1-Tax Rate)")</definedName>
    <definedName name="ccFootnote" localSheetId="9">IF([0]!BefAft=1,"","[1] The Pre-Tax Cost of Capital = After-Tax Cost of Capital/(1-Tax Rate)")</definedName>
    <definedName name="ccFootnote">IF([0]!BefAft=1,"","[1] The Pre-Tax Cost of Capital = After-Tax Cost of Capital/(1-Tax Rate)")</definedName>
    <definedName name="ccodes" localSheetId="13">#REF!</definedName>
    <definedName name="ccodes">#REF!</definedName>
    <definedName name="cd" localSheetId="13" hidden="1">{#N/A,#N/A,FALSE,"SUMMARY REPORT"}</definedName>
    <definedName name="cd" localSheetId="9" hidden="1">{#N/A,#N/A,FALSE,"SUMMARY REPORT"}</definedName>
    <definedName name="cd" hidden="1">{#N/A,#N/A,FALSE,"SUMMARY REPORT"}</definedName>
    <definedName name="CE">#N/A</definedName>
    <definedName name="Cf">#REF!</definedName>
    <definedName name="cfk">#REF!</definedName>
    <definedName name="cg" localSheetId="13" hidden="1">{#N/A,#N/A,FALSE,"SUMMARY REPORT"}</definedName>
    <definedName name="cg" localSheetId="9" hidden="1">{#N/A,#N/A,FALSE,"SUMMARY REPORT"}</definedName>
    <definedName name="cg" hidden="1">{#N/A,#N/A,FALSE,"SUMMARY REPORT"}</definedName>
    <definedName name="CGTScale">#REF!</definedName>
    <definedName name="ChairmanOff">#REF!</definedName>
    <definedName name="ChandigarhOffice">#REF!</definedName>
    <definedName name="change">#REF!</definedName>
    <definedName name="change_2" localSheetId="9" hidden="1">#REF!</definedName>
    <definedName name="change_2" hidden="1">#REF!</definedName>
    <definedName name="change_3" localSheetId="9" hidden="1">#REF!</definedName>
    <definedName name="change_3" hidden="1">#REF!</definedName>
    <definedName name="change_it" localSheetId="9" hidden="1">#REF!</definedName>
    <definedName name="change_it" hidden="1">#REF!</definedName>
    <definedName name="change4" hidden="1">#REF!</definedName>
    <definedName name="Chargeable">#REF!</definedName>
    <definedName name="ChartCaptions" localSheetId="13">#REF!</definedName>
    <definedName name="ChartCaptions">#REF!</definedName>
    <definedName name="chartfield" localSheetId="13">#REF!</definedName>
    <definedName name="chartfield">#REF!</definedName>
    <definedName name="ChartingArea" localSheetId="13">#REF!,#REF!</definedName>
    <definedName name="ChartingArea">#REF!,#REF!</definedName>
    <definedName name="ChartingLabels">#REF!</definedName>
    <definedName name="CHARTOFACCOUNTSID1">#REF!</definedName>
    <definedName name="CHARTOFACCOUNTSID2">#REF!</definedName>
    <definedName name="CHARTOFACCOUNTSID3">#REF!</definedName>
    <definedName name="CHARTOFACCOUNTSID4">#REF!</definedName>
    <definedName name="CHARTOFACCOUNTSID5">#REF!</definedName>
    <definedName name="CHARTOFACCOUNTSID6">#REF!</definedName>
    <definedName name="CHARTOFACCOUNTSID7">#REF!</definedName>
    <definedName name="Chassis">#N/A</definedName>
    <definedName name="check">#REF!</definedName>
    <definedName name="Chile">#REF!</definedName>
    <definedName name="chiyoko" localSheetId="13">#REF!</definedName>
    <definedName name="chiyoko">#REF!</definedName>
    <definedName name="ChocoConfect." localSheetId="13">#REF!</definedName>
    <definedName name="ChocoConfect.">#REF!</definedName>
    <definedName name="chung">66</definedName>
    <definedName name="CIF_DOL" localSheetId="13">#REF!</definedName>
    <definedName name="CIF_DOL">#REF!</definedName>
    <definedName name="CIF_Rs">#REF!</definedName>
    <definedName name="CIF_YEN">#REF!</definedName>
    <definedName name="CITERIA">#REF!</definedName>
    <definedName name="CIVIL" localSheetId="9">#REF!</definedName>
    <definedName name="CIVIL">#REF!</definedName>
    <definedName name="CL">#REF!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BDENTRY">#REF!</definedName>
    <definedName name="CLDT">#REF!</definedName>
    <definedName name="CLIAB" localSheetId="13">#REF!</definedName>
    <definedName name="CLIAB">#REF!</definedName>
    <definedName name="Client">"Client"</definedName>
    <definedName name="CLUB">#REF!</definedName>
    <definedName name="cmb_TDS2.StateCode">#REF!</definedName>
    <definedName name="CNHC">#REF!</definedName>
    <definedName name="co">101</definedName>
    <definedName name="co_1">101</definedName>
    <definedName name="COAT">#REF!</definedName>
    <definedName name="code">#REF!</definedName>
    <definedName name="codes">#REF!</definedName>
    <definedName name="CODESSPU">#REF!</definedName>
    <definedName name="Codiing">#REF!</definedName>
    <definedName name="Coding">#REF!</definedName>
    <definedName name="ColumnAttributes1" localSheetId="13">#REF!</definedName>
    <definedName name="ColumnAttributes1">#REF!</definedName>
    <definedName name="ColumnHeadings1" localSheetId="13">#REF!</definedName>
    <definedName name="ColumnHeadings1">#REF!</definedName>
    <definedName name="COM" localSheetId="13">#REF!</definedName>
    <definedName name="COM">#REF!</definedName>
    <definedName name="comd">#REF!</definedName>
    <definedName name="COMET" localSheetId="13">#REF!</definedName>
    <definedName name="COMET">#REF!</definedName>
    <definedName name="COMGENLIAB">#REF!</definedName>
    <definedName name="COMM_L_MONTHS" localSheetId="13">#REF!</definedName>
    <definedName name="COMM_L_MONTHS">#REF!</definedName>
    <definedName name="Comments">#REF!</definedName>
    <definedName name="COMMERCIAL">#REF!</definedName>
    <definedName name="commissions">#REF!</definedName>
    <definedName name="COMMIT_PHARMA" localSheetId="13">#REF!</definedName>
    <definedName name="COMMIT_PHARMA">#REF!</definedName>
    <definedName name="COMMON" localSheetId="13">#REF!</definedName>
    <definedName name="COMMON">#REF!</definedName>
    <definedName name="COMMONMKTG">#REF!</definedName>
    <definedName name="commonmktg2">#REF!</definedName>
    <definedName name="commonrd">#REF!</definedName>
    <definedName name="comp" localSheetId="13">#REF!</definedName>
    <definedName name="comp">#REF!</definedName>
    <definedName name="company" localSheetId="13">#REF!</definedName>
    <definedName name="company">#REF!</definedName>
    <definedName name="company_name" localSheetId="13">#REF!</definedName>
    <definedName name="company_name">#REF!</definedName>
    <definedName name="Company98">#REF!</definedName>
    <definedName name="CompanyName">#REF!</definedName>
    <definedName name="CON">#REF!</definedName>
    <definedName name="CON_BS" localSheetId="13">#REF!</definedName>
    <definedName name="CON_BS">#REF!</definedName>
    <definedName name="CON_EQP_COS" localSheetId="13">#REF!</definedName>
    <definedName name="CON_EQP_COS">#REF!</definedName>
    <definedName name="CON_pL" localSheetId="13">#REF!</definedName>
    <definedName name="CON_pL">#REF!</definedName>
    <definedName name="CONC25">#REF!</definedName>
    <definedName name="CONC30">#REF!</definedName>
    <definedName name="concats">#REF!</definedName>
    <definedName name="CONCS25">#REF!</definedName>
    <definedName name="CONCS30">#REF!</definedName>
    <definedName name="COND1" hidden="1">#REF!</definedName>
    <definedName name="CondensateRtrn">#REF!</definedName>
    <definedName name="Cong_HM_DTCT">#REF!</definedName>
    <definedName name="Cong_M_DTCT">#REF!</definedName>
    <definedName name="Cong_NC_DTCT">#REF!</definedName>
    <definedName name="Cong_VL_DTCT">#REF!</definedName>
    <definedName name="CONNECTSTRING1">#REF!</definedName>
    <definedName name="CONNECTSTRING2">#REF!</definedName>
    <definedName name="CONNECTSTRING3">#REF!</definedName>
    <definedName name="CONNECTSTRING4">#REF!</definedName>
    <definedName name="CONNECTSTRING5">#REF!</definedName>
    <definedName name="CONNECTSTRING6">#REF!</definedName>
    <definedName name="CONNECTSTRING7">#REF!</definedName>
    <definedName name="CONS">#REF!</definedName>
    <definedName name="consumable">#REF!</definedName>
    <definedName name="consumption" localSheetId="13" hidden="1">{#N/A,#N/A,FALSE,"SUMMARY REPORT"}</definedName>
    <definedName name="consumption" localSheetId="9" hidden="1">{#N/A,#N/A,FALSE,"SUMMARY REPORT"}</definedName>
    <definedName name="consumption" hidden="1">{#N/A,#N/A,FALSE,"SUMMARY REPORT"}</definedName>
    <definedName name="CONTB">#REF!</definedName>
    <definedName name="CONTENT"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RACTOR">#REF!</definedName>
    <definedName name="CONTROL">#REF!</definedName>
    <definedName name="CoNumber">#REF!</definedName>
    <definedName name="conv" localSheetId="13">#REF!</definedName>
    <definedName name="conv" localSheetId="9">#REF!</definedName>
    <definedName name="conv">#REF!</definedName>
    <definedName name="Conversion_factor" localSheetId="13">#REF!</definedName>
    <definedName name="Conversion_factor">#REF!</definedName>
    <definedName name="CONVEYANCE_DEL" localSheetId="13">#REF!</definedName>
    <definedName name="CONVEYANCE_DEL">#REF!</definedName>
    <definedName name="COPMR" localSheetId="13">#REF!</definedName>
    <definedName name="COPMR" localSheetId="9">#REF!</definedName>
    <definedName name="COPMR">#REF!</definedName>
    <definedName name="CorAffHO">#REF!</definedName>
    <definedName name="CorCommunication">#REF!</definedName>
    <definedName name="CoShortCode">#REF!</definedName>
    <definedName name="Cost_Center___DELHI___BRANCH" localSheetId="13">#REF!</definedName>
    <definedName name="Cost_Center___DELHI___BRANCH">#REF!</definedName>
    <definedName name="Cost_Center__CALCUTTA__BRANCH" localSheetId="13">#REF!</definedName>
    <definedName name="Cost_Center__CALCUTTA__BRANCH">#REF!</definedName>
    <definedName name="Cost_Center__CHENNAI__BR_ANCH" localSheetId="13">#REF!</definedName>
    <definedName name="Cost_Center__CHENNAI__BR_ANCH">#REF!</definedName>
    <definedName name="Cost_Center__MUMBAI_BRANCH">#REF!</definedName>
    <definedName name="Cost_Center__N.EAST__BRANCH">#REF!</definedName>
    <definedName name="Cost_Center__Total_Branches">#REF!</definedName>
    <definedName name="CostCentre">#REF!</definedName>
    <definedName name="cot">#REF!</definedName>
    <definedName name="cot7.5" localSheetId="13">#REF!</definedName>
    <definedName name="cot7.5">#REF!</definedName>
    <definedName name="cot8.5" localSheetId="13">#REF!</definedName>
    <definedName name="cot8.5">#REF!</definedName>
    <definedName name="cota">#REF!</definedName>
    <definedName name="cotsw">#REF!</definedName>
    <definedName name="countries">#REF!</definedName>
    <definedName name="COUNTRY">#REF!</definedName>
    <definedName name="covbookfield" localSheetId="13">#REF!</definedName>
    <definedName name="covbookfield">#REF!</definedName>
    <definedName name="COVER" localSheetId="13">#REF!</definedName>
    <definedName name="COVER">#REF!</definedName>
    <definedName name="coverage" localSheetId="13">#REF!</definedName>
    <definedName name="coverage">#REF!</definedName>
    <definedName name="Cowl.lh" localSheetId="13" hidden="1">{#N/A,#N/A,FALSE,"196126-0690";#N/A,#N/A,FALSE,"196126-0690";#N/A,#N/A,FALSE,"1961165-0201"}</definedName>
    <definedName name="Cowl.lh" localSheetId="9" hidden="1">{#N/A,#N/A,FALSE,"196126-0690";#N/A,#N/A,FALSE,"196126-0690";#N/A,#N/A,FALSE,"1961165-0201"}</definedName>
    <definedName name="Cowl.lh" hidden="1">{#N/A,#N/A,FALSE,"196126-0690";#N/A,#N/A,FALSE,"196126-0690";#N/A,#N/A,FALSE,"1961165-0201"}</definedName>
    <definedName name="Coy_cell">#REF!</definedName>
    <definedName name="Coy_name">#REF!</definedName>
    <definedName name="cpc">#REF!</definedName>
    <definedName name="CPP" localSheetId="9">#REF!</definedName>
    <definedName name="CPP">#REF!</definedName>
    <definedName name="CrdParel"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dParel"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dParel"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REATESUMMARYJNLS1">#REF!</definedName>
    <definedName name="CREATESUMMARYJNLS2">#REF!</definedName>
    <definedName name="CREATESUMMARYJNLS3">#REF!</definedName>
    <definedName name="CREATESUMMARYJNLS4">#REF!</definedName>
    <definedName name="CREATESUMMARYJNLS5">#REF!</definedName>
    <definedName name="CREATESUMMARYJNLS6">#REF!</definedName>
    <definedName name="CREATESUMMARYJNLS7">#REF!</definedName>
    <definedName name="CREDITOR">#REF!</definedName>
    <definedName name="creditors">#REF!</definedName>
    <definedName name="credotor">#REF!</definedName>
    <definedName name="CRHC">#REF!</definedName>
    <definedName name="CRITER">NA()</definedName>
    <definedName name="_xlnm.Criteria">#REF!</definedName>
    <definedName name="CRITERIACOLUMN1" localSheetId="13">#REF!</definedName>
    <definedName name="CRITERIACOLUMN1">#REF!</definedName>
    <definedName name="CRITERIACOLUMN2" localSheetId="13">#REF!</definedName>
    <definedName name="CRITERIACOLUMN2">#REF!</definedName>
    <definedName name="CRITERIACOLUMN3" localSheetId="13">#REF!</definedName>
    <definedName name="CRITERIACOLUMN3">#REF!</definedName>
    <definedName name="CRITERIACOLUMN4">#REF!</definedName>
    <definedName name="CRITERIACOLUMN5">#REF!</definedName>
    <definedName name="CRITERIACOLUMN6">#REF!</definedName>
    <definedName name="CRITERIACOLUMN7">#REF!</definedName>
    <definedName name="CRITINST">#REF!</definedName>
    <definedName name="CRITPURC">#REF!</definedName>
    <definedName name="cross">#REF!</definedName>
    <definedName name="CRV_ENG_DB" localSheetId="13">#REF!</definedName>
    <definedName name="CRV_ENG_DB">#REF!</definedName>
    <definedName name="CS" localSheetId="13">#REF!</definedName>
    <definedName name="CS">#REF!</definedName>
    <definedName name="CS_10" localSheetId="13">#REF!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GMW">#REF!</definedName>
    <definedName name="ctiep">#REF!</definedName>
    <definedName name="CU_LY">#REF!</definedName>
    <definedName name="Culinery">#REF!</definedName>
    <definedName name="cum">#REF!</definedName>
    <definedName name="cumu" localSheetId="13">#REF!</definedName>
    <definedName name="cumu">#REF!</definedName>
    <definedName name="cuoc_vc" localSheetId="13">#REF!</definedName>
    <definedName name="cuoc_vc">#REF!</definedName>
    <definedName name="Currency" localSheetId="13">#REF!</definedName>
    <definedName name="Currency" localSheetId="9">#REF!</definedName>
    <definedName name="Currency">#REF!</definedName>
    <definedName name="CurrencyHeader">#REF!</definedName>
    <definedName name="CURRENT" localSheetId="13">#REF!</definedName>
    <definedName name="CURRENT">#REF!</definedName>
    <definedName name="CurrentYA">#REF!</definedName>
    <definedName name="CURRTECH">#REF!</definedName>
    <definedName name="CurrYA">#REF!</definedName>
    <definedName name="cvf" localSheetId="13" hidden="1">{#N/A,#N/A,FALSE,"SUMMARY REPORT"}</definedName>
    <definedName name="cvf" localSheetId="9" hidden="1">{#N/A,#N/A,FALSE,"SUMMARY REPORT"}</definedName>
    <definedName name="cvf" hidden="1">{#N/A,#N/A,FALSE,"SUMMARY REPORT"}</definedName>
    <definedName name="cvt">#REF!</definedName>
    <definedName name="cvtchange">#REF!</definedName>
    <definedName name="CWIP">#REF!</definedName>
    <definedName name="cx">#REF!</definedName>
    <definedName name="C列削除">#REF!</definedName>
    <definedName name="D" localSheetId="9">#REF!</definedName>
    <definedName name="D">#REF!</definedName>
    <definedName name="D_Gupta">#REF!</definedName>
    <definedName name="D_Khatwani">#REF!</definedName>
    <definedName name="D_Marquis">#REF!</definedName>
    <definedName name="da" localSheetId="13" hidden="1">{#N/A,#N/A,FALSE,"Aging Summary";#N/A,#N/A,FALSE,"Ratio Analysis";#N/A,#N/A,FALSE,"Test 120 Day Accts";#N/A,#N/A,FALSE,"Tickmarks"}</definedName>
    <definedName name="da" localSheetId="9" hidden="1">{#N/A,#N/A,FALSE,"Aging Summary";#N/A,#N/A,FALSE,"Ratio Analysis";#N/A,#N/A,FALSE,"Test 120 Day Accts";#N/A,#N/A,FALSE,"Tickmarks"}</definedName>
    <definedName name="da" hidden="1">{#N/A,#N/A,FALSE,"Aging Summary";#N/A,#N/A,FALSE,"Ratio Analysis";#N/A,#N/A,FALSE,"Test 120 Day Accts";#N/A,#N/A,FALSE,"Tickmarks"}</definedName>
    <definedName name="daily">#REF!</definedName>
    <definedName name="DAISU" localSheetId="13">#REF!</definedName>
    <definedName name="DAISU">#REF!</definedName>
    <definedName name="dam">78000</definedName>
    <definedName name="data">#REF!</definedName>
    <definedName name="data1" localSheetId="9" hidden="1">#REF!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localSheetId="9" hidden="1">#REF!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localSheetId="9" hidden="1">#REF!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5">#REF!</definedName>
    <definedName name="DATA6">#REF!</definedName>
    <definedName name="DATA7">#REF!</definedName>
    <definedName name="DATA8">#REF!</definedName>
    <definedName name="DATA9">#REF!</definedName>
    <definedName name="_xlnm.Database">#REF!</definedName>
    <definedName name="DataFilter">#REF!</definedName>
    <definedName name="DataSort">#REF!</definedName>
    <definedName name="DataSource" localSheetId="13">#REF!</definedName>
    <definedName name="DataSource">#REF!</definedName>
    <definedName name="DataTransfer" localSheetId="13">#REF!</definedName>
    <definedName name="DataTransfer">#REF!</definedName>
    <definedName name="DATE">#REF!</definedName>
    <definedName name="DATEENG" localSheetId="13">#REF!</definedName>
    <definedName name="DATEENG">#REF!</definedName>
    <definedName name="DATEFRM" localSheetId="13">#REF!</definedName>
    <definedName name="DATEFRM">#REF!</definedName>
    <definedName name="DATEMISS" localSheetId="13">#REF!</definedName>
    <definedName name="DATEMISS">#REF!</definedName>
    <definedName name="DateOffset">#REF!</definedName>
    <definedName name="DateRange">"1998.10.01 To 1998.10.31"</definedName>
    <definedName name="Days">365</definedName>
    <definedName name="db">#REF!</definedName>
    <definedName name="DBNAME1" localSheetId="13">#REF!</definedName>
    <definedName name="DBNAME1">#REF!</definedName>
    <definedName name="DBNAME2" localSheetId="13">#REF!</definedName>
    <definedName name="DBNAME2">#REF!</definedName>
    <definedName name="DBNAME3" localSheetId="13">#REF!</definedName>
    <definedName name="DBNAME3">#REF!</definedName>
    <definedName name="DBNAME4">#REF!</definedName>
    <definedName name="DBNAME5">#REF!</definedName>
    <definedName name="DBNAME6">#REF!</definedName>
    <definedName name="DBNAME7">#REF!</definedName>
    <definedName name="DBUSERNAME1">#REF!</definedName>
    <definedName name="DBUSERNAME2">#REF!</definedName>
    <definedName name="DBUSERNAME3">#REF!</definedName>
    <definedName name="DBUSERNAME4">#REF!</definedName>
    <definedName name="DBUSERNAME5">#REF!</definedName>
    <definedName name="DBUSERNAME6">#REF!</definedName>
    <definedName name="DBUSERNAME7">#REF!</definedName>
    <definedName name="ddd" localSheetId="13" hidden="1">{"Balance Sheet",#N/A,FALSE,"Balsheet";"Assets Schedule",#N/A,FALSE,"Balsheet";"Abstract",#N/A,FALSE,"Balsheet"}</definedName>
    <definedName name="ddd" localSheetId="9" hidden="1">{"Balance Sheet",#N/A,FALSE,"Balsheet";"Assets Schedule",#N/A,FALSE,"Balsheet";"Abstract",#N/A,FALSE,"Balsheet"}</definedName>
    <definedName name="ddd" hidden="1">{"Balance Sheet",#N/A,FALSE,"Balsheet";"Assets Schedule",#N/A,FALSE,"Balsheet";"Abstract",#N/A,FALSE,"Balsheet"}</definedName>
    <definedName name="dddd" localSheetId="13" hidden="1">{"Computation Tax",#N/A,FALSE,"43B";"Dep I.Tax",#N/A,FALSE,"43B";"I Tax Losses",#N/A,FALSE,"43B";"Annex-III 3CD",#N/A,FALSE,"43B";"Cash Payments",#N/A,FALSE,"43B";"43B",#N/A,FALSE,"43B"}</definedName>
    <definedName name="dddd" localSheetId="9" hidden="1">{"Computation Tax",#N/A,FALSE,"43B";"Dep I.Tax",#N/A,FALSE,"43B";"I Tax Losses",#N/A,FALSE,"43B";"Annex-III 3CD",#N/A,FALSE,"43B";"Cash Payments",#N/A,FALSE,"43B";"43B",#N/A,FALSE,"43B"}</definedName>
    <definedName name="dddd" hidden="1">{"Computation Tax",#N/A,FALSE,"43B";"Dep I.Tax",#N/A,FALSE,"43B";"I Tax Losses",#N/A,FALSE,"43B";"Annex-III 3CD",#N/A,FALSE,"43B";"Cash Payments",#N/A,FALSE,"43B";"43B",#N/A,FALSE,"43B"}</definedName>
    <definedName name="ddddd" localSheetId="13" hidden="1">{"Bsheet",#N/A,FALSE,"Details";"P&amp;L",#N/A,FALSE,"Details";"Schedule",#N/A,FALSE,"Details";"Details",#N/A,FALSE,"Details"}</definedName>
    <definedName name="ddddd" localSheetId="9" hidden="1">{"Bsheet",#N/A,FALSE,"Details";"P&amp;L",#N/A,FALSE,"Details";"Schedule",#N/A,FALSE,"Details";"Details",#N/A,FALSE,"Details"}</definedName>
    <definedName name="ddddd" hidden="1">{"Bsheet",#N/A,FALSE,"Details";"P&amp;L",#N/A,FALSE,"Details";"Schedule",#N/A,FALSE,"Details";"Details",#N/A,FALSE,"Details"}</definedName>
    <definedName name="DDFSDFDFDFDFD" localSheetId="13" hidden="1">{"DJH3",#N/A,FALSE,"PFL00805";"PJB3",#N/A,FALSE,"PFL00805";"JMD3",#N/A,FALSE,"PFL00805";"DNB3",#N/A,FALSE,"PFL00805";"MJP3",#N/A,FALSE,"PFL00805";"RAB3",#N/A,FALSE,"PFL00805";"GJW3",#N/A,FALSE,"PFL00805";"MASTER3",#N/A,FALSE,"PFL00805"}</definedName>
    <definedName name="DDFSDFDFDFDFD" localSheetId="9"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e">#REF!</definedName>
    <definedName name="DEB_TIT">#REF!</definedName>
    <definedName name="DEB_TIT_2">#REF!</definedName>
    <definedName name="DEBT">#REF!</definedName>
    <definedName name="DebtEquity">#REF!</definedName>
    <definedName name="DEBTOR" localSheetId="13">#REF!</definedName>
    <definedName name="DEBTOR">#REF!</definedName>
    <definedName name="DEBTORS" localSheetId="13">#REF!</definedName>
    <definedName name="DEBTORS">#REF!</definedName>
    <definedName name="debtors2001" localSheetId="13">#REF!</definedName>
    <definedName name="debtors2001">#REF!</definedName>
    <definedName name="DEC">#REF!</definedName>
    <definedName name="DECDATA?">#REF!</definedName>
    <definedName name="ded">#REF!</definedName>
    <definedName name="deee" localSheetId="13" hidden="1">{"Bsheet",#N/A,FALSE,"Details";"P&amp;l",#N/A,FALSE,"Details";"Schedule",#N/A,FALSE,"Details";"Details",#N/A,FALSE,"Details";"Annexue II",#N/A,FALSE,"Details";"Branch Bs",#N/A,FALSE,"Details";"Branch PL",#N/A,FALSE,"Details"}</definedName>
    <definedName name="deee" localSheetId="9" hidden="1">{"Bsheet",#N/A,FALSE,"Details";"P&amp;l",#N/A,FALSE,"Details";"Schedule",#N/A,FALSE,"Details";"Details",#N/A,FALSE,"Details";"Annexue II",#N/A,FALSE,"Details";"Branch Bs",#N/A,FALSE,"Details";"Branch PL",#N/A,FALSE,"Details"}</definedName>
    <definedName name="deee" hidden="1">{"Bsheet",#N/A,FALSE,"Details";"P&amp;l",#N/A,FALSE,"Details";"Schedule",#N/A,FALSE,"Details";"Details",#N/A,FALSE,"Details";"Annexue II",#N/A,FALSE,"Details";"Branch Bs",#N/A,FALSE,"Details";"Branch PL",#N/A,FALSE,"Details"}</definedName>
    <definedName name="deep" localSheetId="13" hidden="1">{"Bsheet",#N/A,FALSE,"Details";"P&amp;L",#N/A,FALSE,"Details";"Schedule",#N/A,FALSE,"Details";"Details",#N/A,FALSE,"Details"}</definedName>
    <definedName name="deep" localSheetId="9" hidden="1">{"Bsheet",#N/A,FALSE,"Details";"P&amp;L",#N/A,FALSE,"Details";"Schedule",#N/A,FALSE,"Details";"Details",#N/A,FALSE,"Details"}</definedName>
    <definedName name="deep" hidden="1">{"Bsheet",#N/A,FALSE,"Details";"P&amp;L",#N/A,FALSE,"Details";"Schedule",#N/A,FALSE,"Details";"Details",#N/A,FALSE,"Details"}</definedName>
    <definedName name="Deepak">#REF!</definedName>
    <definedName name="def" localSheetId="13" hidden="1">{#N/A,#N/A,FALSE,"SUMMARY REPORT"}</definedName>
    <definedName name="def" localSheetId="9" hidden="1">{#N/A,#N/A,FALSE,"SUMMARY REPORT"}</definedName>
    <definedName name="def" hidden="1">{#N/A,#N/A,FALSE,"SUMMARY REPORT"}</definedName>
    <definedName name="dEFFEREDTAX">#REF!</definedName>
    <definedName name="Defftax" localSheetId="13">#REF!</definedName>
    <definedName name="Defftax">#REF!</definedName>
    <definedName name="DELETELOGICTYPE1" localSheetId="13">#REF!</definedName>
    <definedName name="DELETELOGICTYPE1">#REF!</definedName>
    <definedName name="DELETELOGICTYPE2" localSheetId="13">#REF!</definedName>
    <definedName name="DELETELOGICTYPE2">#REF!</definedName>
    <definedName name="DELETELOGICTYPE3">#REF!</definedName>
    <definedName name="DELETELOGICTYPE4">#REF!</definedName>
    <definedName name="DELETELOGICTYPE5">#REF!</definedName>
    <definedName name="DELETELOGICTYPE6">#REF!</definedName>
    <definedName name="DELETELOGICTYPE7">#REF!</definedName>
    <definedName name="Delhi">#REF!</definedName>
    <definedName name="DELOC">#REF!</definedName>
    <definedName name="DELOD">#REF!</definedName>
    <definedName name="DELTB">#REF!</definedName>
    <definedName name="den_bu">#REF!</definedName>
    <definedName name="denbu">#REF!</definedName>
    <definedName name="Denmark">#REF!</definedName>
    <definedName name="DEP" localSheetId="13">#REF!</definedName>
    <definedName name="DEP">#REF!</definedName>
    <definedName name="dep_pm" localSheetId="13">#REF!</definedName>
    <definedName name="dep_pm">#REF!</definedName>
    <definedName name="depcom_pa" localSheetId="13">#REF!</definedName>
    <definedName name="depcom_pa">#REF!</definedName>
    <definedName name="DEPMETHOD">#REF!</definedName>
    <definedName name="DEPOSITS" localSheetId="13">#REF!</definedName>
    <definedName name="DEPOSITS">#REF!</definedName>
    <definedName name="depr2">#REF!</definedName>
    <definedName name="Depreciation">#REF!</definedName>
    <definedName name="Depreciation12M" localSheetId="13" hidden="1">#REF!</definedName>
    <definedName name="Depreciation12M" localSheetId="9" hidden="1">#REF!</definedName>
    <definedName name="Depreciation12M" hidden="1">#REF!</definedName>
    <definedName name="depriciation">#REF!</definedName>
    <definedName name="depsch_pa" localSheetId="13">#REF!</definedName>
    <definedName name="depsch_pa">#REF!</definedName>
    <definedName name="dept858" localSheetId="13">#REF!</definedName>
    <definedName name="dept858">#REF!</definedName>
    <definedName name="depveh_pa" localSheetId="13">#REF!</definedName>
    <definedName name="depveh_pa">#REF!</definedName>
    <definedName name="DESMA">#REF!</definedName>
    <definedName name="DET">#REF!</definedName>
    <definedName name="DET_2">#REF!</definedName>
    <definedName name="DET_DEB">#REF!</definedName>
    <definedName name="DET_DEB_2">#REF!</definedName>
    <definedName name="DET_SCH_5">#REF!</definedName>
    <definedName name="DET_SCH_5_2">#REF!</definedName>
    <definedName name="DET_SH_5">#REF!</definedName>
    <definedName name="DET_TITLE">#REF!</definedName>
    <definedName name="DET_TITLE_2">#REF!</definedName>
    <definedName name="DETAILS">#REF!</definedName>
    <definedName name="dev"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S" localSheetId="13">#REF!+#REF!+#REF!+#REF!+#REF!+#REF!+#REF!+#REF!</definedName>
    <definedName name="DEVICES">#REF!+#REF!+#REF!+#REF!+#REF!+#REF!+#REF!+#REF!</definedName>
    <definedName name="dew" localSheetId="13" hidden="1">{#N/A,#N/A,FALSE,"SUMMARY REPORT"}</definedName>
    <definedName name="dew" localSheetId="9" hidden="1">{#N/A,#N/A,FALSE,"SUMMARY REPORT"}</definedName>
    <definedName name="dew" hidden="1">{#N/A,#N/A,FALSE,"SUMMARY REPORT"}</definedName>
    <definedName name="DEXPORTS">#REF!</definedName>
    <definedName name="df">#REF!</definedName>
    <definedName name="DFDFDDFDFDDF" localSheetId="13" hidden="1">{"DJH3",#N/A,FALSE,"PFL00805";"PJB3",#N/A,FALSE,"PFL00805";"JMD3",#N/A,FALSE,"PFL00805";"DNB3",#N/A,FALSE,"PFL00805";"MJP3",#N/A,FALSE,"PFL00805";"RAB3",#N/A,FALSE,"PFL00805";"GJW3",#N/A,FALSE,"PFL00805";"MASTER3",#N/A,FALSE,"PFL00805"}</definedName>
    <definedName name="DFDFDDFDFDDF" localSheetId="9"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FDFDFDF" localSheetId="13" hidden="1">{"DJH3",#N/A,FALSE,"PFL00805";"PJB3",#N/A,FALSE,"PFL00805";"JMD3",#N/A,FALSE,"PFL00805";"DNB3",#N/A,FALSE,"PFL00805";"MJP3",#N/A,FALSE,"PFL00805";"RAB3",#N/A,FALSE,"PFL00805";"GJW3",#N/A,FALSE,"PFL00805";"MASTER3",#N/A,FALSE,"PFL00805"}</definedName>
    <definedName name="DFDFDFDFDFDFDF" localSheetId="9"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gh" localSheetId="13" hidden="1">{#N/A,#N/A,FALSE,"196126-0690";#N/A,#N/A,FALSE,"196126-0690";#N/A,#N/A,FALSE,"1961165-0201"}</definedName>
    <definedName name="dfgh" localSheetId="9" hidden="1">{#N/A,#N/A,FALSE,"196126-0690";#N/A,#N/A,FALSE,"196126-0690";#N/A,#N/A,FALSE,"1961165-0201"}</definedName>
    <definedName name="dfgh" hidden="1">{#N/A,#N/A,FALSE,"196126-0690";#N/A,#N/A,FALSE,"196126-0690";#N/A,#N/A,FALSE,"1961165-0201"}</definedName>
    <definedName name="DFGHJK" hidden="1">8</definedName>
    <definedName name="DFSFDSFDSAF"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gae">#REF!</definedName>
    <definedName name="DGCTI592">#REF!</definedName>
    <definedName name="DHMAS">#REF!</definedName>
    <definedName name="dhom" localSheetId="13">#REF!</definedName>
    <definedName name="dhom">#REF!</definedName>
    <definedName name="dicer" localSheetId="13">#REF!</definedName>
    <definedName name="dicer">#REF!</definedName>
    <definedName name="DIE">#REF!</definedName>
    <definedName name="Die_1">#REF!</definedName>
    <definedName name="DIE_1_X">#REF!</definedName>
    <definedName name="DIE_1_Y">#REF!</definedName>
    <definedName name="Die_2">#REF!</definedName>
    <definedName name="DIE_2_X">#REF!</definedName>
    <definedName name="DIE_2_Y">#REF!</definedName>
    <definedName name="Die_3">#REF!</definedName>
    <definedName name="DIE_3_X">#REF!</definedName>
    <definedName name="DIE_3_Y">#REF!</definedName>
    <definedName name="Die_4">#REF!</definedName>
    <definedName name="DIE_4_X">#REF!</definedName>
    <definedName name="DIE_4_Y">#REF!</definedName>
    <definedName name="Die_5">#REF!</definedName>
    <definedName name="DIE_5_X">#REF!</definedName>
    <definedName name="DIE_5_Y">#REF!</definedName>
    <definedName name="Die_name_1">#REF!</definedName>
    <definedName name="Die_name_2">#REF!</definedName>
    <definedName name="Die_name_3">#REF!</definedName>
    <definedName name="Die_name_4">#REF!</definedName>
    <definedName name="Die_name_5">#REF!</definedName>
    <definedName name="DIEPCSPRINT" localSheetId="13">#REF!</definedName>
    <definedName name="DIEPCSPRINT">#REF!</definedName>
    <definedName name="DIEPRINT" localSheetId="13">#REF!</definedName>
    <definedName name="DIEPRINT">#REF!</definedName>
    <definedName name="DIEQTRPRINT" localSheetId="13">#REF!</definedName>
    <definedName name="DIEQTRPRINT">#REF!</definedName>
    <definedName name="Difference">#REF!</definedName>
    <definedName name="DIS">#REF!</definedName>
    <definedName name="Disaggregations">#REF!</definedName>
    <definedName name="Discount" localSheetId="9" hidden="1">#REF!</definedName>
    <definedName name="Discount" hidden="1">#REF!</definedName>
    <definedName name="display_area_2" localSheetId="9" hidden="1">#REF!</definedName>
    <definedName name="display_area_2" hidden="1">#REF!</definedName>
    <definedName name="DISPOS1">#REF!</definedName>
    <definedName name="Distribution">#REF!</definedName>
    <definedName name="DISTRIBUTORS">#REF!</definedName>
    <definedName name="Div">#REF!</definedName>
    <definedName name="dividends97">#REF!</definedName>
    <definedName name="djdjdjjdjd">#REF!</definedName>
    <definedName name="djhdfdsdsdfsdfsdafsdafsd">#REF!</definedName>
    <definedName name="dly">#REF!</definedName>
    <definedName name="DNBC960.DNBC960">#REF!</definedName>
    <definedName name="DNBC961.DNBC961">#REF!</definedName>
    <definedName name="DNFL"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oj">#REF!</definedName>
    <definedName name="DPC">#REF!</definedName>
    <definedName name="drgarhy">#REF!</definedName>
    <definedName name="drt" localSheetId="13" hidden="1">{#N/A,#N/A,FALSE,"SUMMARY REPORT"}</definedName>
    <definedName name="drt" localSheetId="9" hidden="1">{#N/A,#N/A,FALSE,"SUMMARY REPORT"}</definedName>
    <definedName name="drt" hidden="1">{#N/A,#N/A,FALSE,"SUMMARY REPORT"}</definedName>
    <definedName name="dry" localSheetId="13" hidden="1">{#N/A,#N/A,FALSE,"SUMMARY REPORT"}</definedName>
    <definedName name="dry" localSheetId="9" hidden="1">{#N/A,#N/A,FALSE,"SUMMARY REPORT"}</definedName>
    <definedName name="dry" hidden="1">{#N/A,#N/A,FALSE,"SUMMARY REPORT"}</definedName>
    <definedName name="ds">#REF!</definedName>
    <definedName name="DSales">#REF!</definedName>
    <definedName name="dsc" localSheetId="13" hidden="1">{#N/A,#N/A,FALSE,"인원";#N/A,#N/A,FALSE,"비용2";#N/A,#N/A,FALSE,"비용1";#N/A,#N/A,FALSE,"비용";#N/A,#N/A,FALSE,"보증2";#N/A,#N/A,FALSE,"보증1";#N/A,#N/A,FALSE,"보증";#N/A,#N/A,FALSE,"손익1";#N/A,#N/A,FALSE,"손익";#N/A,#N/A,FALSE,"부서별매출";#N/A,#N/A,FALSE,"매출"}</definedName>
    <definedName name="dsc" localSheetId="9" hidden="1">{#N/A,#N/A,FALSE,"인원";#N/A,#N/A,FALSE,"비용2";#N/A,#N/A,FALSE,"비용1";#N/A,#N/A,FALSE,"비용";#N/A,#N/A,FALSE,"보증2";#N/A,#N/A,FALSE,"보증1";#N/A,#N/A,FALSE,"보증";#N/A,#N/A,FALSE,"손익1";#N/A,#N/A,FALSE,"손익";#N/A,#N/A,FALSE,"부서별매출";#N/A,#N/A,FALSE,"매출"}</definedName>
    <definedName name="dsc" hidden="1">{#N/A,#N/A,FALSE,"인원";#N/A,#N/A,FALSE,"비용2";#N/A,#N/A,FALSE,"비용1";#N/A,#N/A,FALSE,"비용";#N/A,#N/A,FALSE,"보증2";#N/A,#N/A,FALSE,"보증1";#N/A,#N/A,FALSE,"보증";#N/A,#N/A,FALSE,"손익1";#N/A,#N/A,FALSE,"손익";#N/A,#N/A,FALSE,"부서별매출";#N/A,#N/A,FALSE,"매출"}</definedName>
    <definedName name="DSCR_max">#REF!</definedName>
    <definedName name="DSCR_min">#REF!</definedName>
    <definedName name="DSFDFDSFADDDSFSAF"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rsfsdr" hidden="1">#REF!</definedName>
    <definedName name="dsg" localSheetId="13" hidden="1">{#N/A,#N/A,FALSE,"SUMMARY REPORT"}</definedName>
    <definedName name="dsg" localSheetId="9" hidden="1">{#N/A,#N/A,FALSE,"SUMMARY REPORT"}</definedName>
    <definedName name="dsg" hidden="1">{#N/A,#N/A,FALSE,"SUMMARY REPORT"}</definedName>
    <definedName name="dss">#REF!</definedName>
    <definedName name="DST4SPU">#REF!</definedName>
    <definedName name="DSUMDATA" localSheetId="13">#REF!</definedName>
    <definedName name="DSUMDATA">#REF!</definedName>
    <definedName name="DT">#REF!</definedName>
    <definedName name="dta">#REF!</definedName>
    <definedName name="dtacurrentyear">#REF!</definedName>
    <definedName name="dter" localSheetId="13">#REF!</definedName>
    <definedName name="dter">#REF!</definedName>
    <definedName name="dtl">#REF!</definedName>
    <definedName name="DTRS" localSheetId="13">#REF!</definedName>
    <definedName name="DTRS">#REF!</definedName>
    <definedName name="dtu">#REF!</definedName>
    <definedName name="dtyr">#REF!</definedName>
    <definedName name="dua" localSheetId="9" hidden="1">#REF!</definedName>
    <definedName name="dua" hidden="1">#REF!</definedName>
    <definedName name="duoi" localSheetId="13">#REF!</definedName>
    <definedName name="duoi">#REF!</definedName>
    <definedName name="DutoanDongmo" localSheetId="13">#REF!</definedName>
    <definedName name="DutoanDongmo">#REF!</definedName>
    <definedName name="DutyAppl" localSheetId="13">#REF!</definedName>
    <definedName name="DutyAppl">#REF!</definedName>
    <definedName name="DutyRate">#REF!</definedName>
    <definedName name="dw">#REF!</definedName>
    <definedName name="dwe" localSheetId="13" hidden="1">{#N/A,#N/A,FALSE,"SUMMARY REPORT"}</definedName>
    <definedName name="dwe" localSheetId="9" hidden="1">{#N/A,#N/A,FALSE,"SUMMARY REPORT"}</definedName>
    <definedName name="dwe" hidden="1">{#N/A,#N/A,FALSE,"SUMMARY REPORT"}</definedName>
    <definedName name="DWPRICE" hidden="1">#REF!</definedName>
    <definedName name="DX">35.5796</definedName>
    <definedName name="dxd" localSheetId="13" hidden="1">{#N/A,#N/A,FALSE,"SUMMARY REPORT"}</definedName>
    <definedName name="dxd" localSheetId="9" hidden="1">{#N/A,#N/A,FALSE,"SUMMARY REPORT"}</definedName>
    <definedName name="dxd" hidden="1">{#N/A,#N/A,FALSE,"SUMMARY REPORT"}</definedName>
    <definedName name="dxffgx">#REF!</definedName>
    <definedName name="dyfhn" localSheetId="13" hidden="1">{#N/A,#N/A,FALSE,"Aging Summary";#N/A,#N/A,FALSE,"Ratio Analysis";#N/A,#N/A,FALSE,"Test 120 Day Accts";#N/A,#N/A,FALSE,"Tickmarks"}</definedName>
    <definedName name="dyfhn" localSheetId="9" hidden="1">{#N/A,#N/A,FALSE,"Aging Summary";#N/A,#N/A,FALSE,"Ratio Analysis";#N/A,#N/A,FALSE,"Test 120 Day Accts";#N/A,#N/A,FALSE,"Tickmarks"}</definedName>
    <definedName name="dyfhn" hidden="1">{#N/A,#N/A,FALSE,"Aging Summary";#N/A,#N/A,FALSE,"Ratio Analysis";#N/A,#N/A,FALSE,"Test 120 Day Accts";#N/A,#N/A,FALSE,"Tickmarks"}</definedName>
    <definedName name="D行削除">#REF!</definedName>
    <definedName name="e">#REF!</definedName>
    <definedName name="E_i" localSheetId="13">#REF!</definedName>
    <definedName name="E_i" localSheetId="9">#REF!</definedName>
    <definedName name="E_i">#REF!</definedName>
    <definedName name="E_ii" localSheetId="9">#REF!</definedName>
    <definedName name="E_ii">#REF!</definedName>
    <definedName name="E_ii_c" localSheetId="9">#REF!</definedName>
    <definedName name="E_ii_c">#REF!</definedName>
    <definedName name="E_iii" localSheetId="9">#REF!</definedName>
    <definedName name="E_iii">#REF!</definedName>
    <definedName name="E_iv" localSheetId="9">#REF!</definedName>
    <definedName name="E_iv">#REF!</definedName>
    <definedName name="E_ix" localSheetId="9">#REF!</definedName>
    <definedName name="E_ix">#REF!</definedName>
    <definedName name="E_v" localSheetId="9">#REF!</definedName>
    <definedName name="E_v">#REF!</definedName>
    <definedName name="E_vi" localSheetId="9">#REF!</definedName>
    <definedName name="E_vi">#REF!</definedName>
    <definedName name="E_vii" localSheetId="9">#REF!</definedName>
    <definedName name="E_vii">#REF!</definedName>
    <definedName name="E_viii" localSheetId="9">#REF!</definedName>
    <definedName name="E_viii">#REF!</definedName>
    <definedName name="EA3_MT">#REF!</definedName>
    <definedName name="EA8_AT">#REF!</definedName>
    <definedName name="East_Europe_Average">#REF!</definedName>
    <definedName name="eay">#REF!</definedName>
    <definedName name="EB">#REF!</definedName>
    <definedName name="EB0_MT" localSheetId="13">#REF!</definedName>
    <definedName name="EB0_MT">#REF!</definedName>
    <definedName name="EB6_AT" localSheetId="13">#REF!</definedName>
    <definedName name="EB6_AT">#REF!</definedName>
    <definedName name="EBIT" localSheetId="13">#REF!</definedName>
    <definedName name="EBIT">#REF!</definedName>
    <definedName name="EBITCAP" localSheetId="13">#REF!</definedName>
    <definedName name="EBITCAP">#REF!</definedName>
    <definedName name="EBITDA__int_cvrge_x">#REF!</definedName>
    <definedName name="EBITDA_Bridge" localSheetId="13">#REF!</definedName>
    <definedName name="EBITDA_Bridge">#REF!</definedName>
    <definedName name="EbitdaLine">#REF!</definedName>
    <definedName name="eda">#REF!</definedName>
    <definedName name="ee" localSheetId="13" hidden="1">{#N/A,#N/A,FALSE,"DATA"}</definedName>
    <definedName name="ee" localSheetId="9" hidden="1">{#N/A,#N/A,FALSE,"DATA"}</definedName>
    <definedName name="ee" hidden="1">{#N/A,#N/A,FALSE,"DATA"}</definedName>
    <definedName name="EE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reeerer" localSheetId="13" hidden="1">{"DJH3",#N/A,FALSE,"PFL00805";"PJB3",#N/A,FALSE,"PFL00805";"JMD3",#N/A,FALSE,"PFL00805";"DNB3",#N/A,FALSE,"PFL00805";"MJP3",#N/A,FALSE,"PFL00805";"RAB3",#N/A,FALSE,"PFL00805";"GJW3",#N/A,FALSE,"PFL00805";"MASTER3",#N/A,FALSE,"PFL00805"}</definedName>
    <definedName name="eereeerer" localSheetId="9"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F">#REF!</definedName>
    <definedName name="ei">#REF!</definedName>
    <definedName name="EIGHT">#REF!</definedName>
    <definedName name="ELECTRICAL" localSheetId="13">#REF!</definedName>
    <definedName name="ELECTRICAL" localSheetId="9">#REF!</definedName>
    <definedName name="ELECTRICAL">#REF!</definedName>
    <definedName name="Electricity"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P_BENFIT_EXP">#REF!</definedName>
    <definedName name="Emp_Names">OFFSET(#REF!,0,0,COUNTA(#REF!))</definedName>
    <definedName name="EmpRelated" localSheetId="13">#REF!</definedName>
    <definedName name="EmpRelated">#REF!</definedName>
    <definedName name="EmpRelate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gg">#REF!,#REF!</definedName>
    <definedName name="Entity">#REF!</definedName>
    <definedName name="EPFESF">#REF!</definedName>
    <definedName name="EPFESG">#REF!</definedName>
    <definedName name="EPFPSG">#REF!</definedName>
    <definedName name="eq" localSheetId="13" hidden="1">{#N/A,#N/A,FALSE,"SUMMARY REPORT"}</definedName>
    <definedName name="eq" localSheetId="9" hidden="1">{#N/A,#N/A,FALSE,"SUMMARY REPORT"}</definedName>
    <definedName name="eq" hidden="1">{#N/A,#N/A,FALSE,"SUMMARY REPORT"}</definedName>
    <definedName name="Equity_IRR">#REF!</definedName>
    <definedName name="equity97">#REF!</definedName>
    <definedName name="equitydata">#REF!</definedName>
    <definedName name="Er_11">#REF!</definedName>
    <definedName name="Er_111">#REF!</definedName>
    <definedName name="Er_211">#REF!</definedName>
    <definedName name="Er_221">#REF!</definedName>
    <definedName name="Er_222">#REF!</definedName>
    <definedName name="Er_322">#REF!</definedName>
    <definedName name="Er_332">#REF!</definedName>
    <definedName name="Er_333">#REF!</definedName>
    <definedName name="Er_433">#REF!</definedName>
    <definedName name="Er_443">#REF!</definedName>
    <definedName name="Er_444">#REF!</definedName>
    <definedName name="Er_544">#REF!</definedName>
    <definedName name="Er_554">#REF!</definedName>
    <definedName name="Er_555">#REF!</definedName>
    <definedName name="Er_655">#REF!</definedName>
    <definedName name="Er_665">#REF!</definedName>
    <definedName name="Er_666">#REF!</definedName>
    <definedName name="Er_MSC_Ericsson">#REF!</definedName>
    <definedName name="Er_One_Cell">#REF!</definedName>
    <definedName name="Er_TRX_1">#REF!</definedName>
    <definedName name="Er_TRX_2">#REF!</definedName>
    <definedName name="Er_Two_Cells">#REF!</definedName>
    <definedName name="eratret">#REF!</definedName>
    <definedName name="ERT" localSheetId="13" hidden="1">{#N/A,#N/A,FALSE,"196126-0690";#N/A,#N/A,FALSE,"196126-0690";#N/A,#N/A,FALSE,"1961165-0201"}</definedName>
    <definedName name="ERT" localSheetId="9" hidden="1">{#N/A,#N/A,FALSE,"196126-0690";#N/A,#N/A,FALSE,"196126-0690";#N/A,#N/A,FALSE,"1961165-0201"}</definedName>
    <definedName name="ERT" hidden="1">{#N/A,#N/A,FALSE,"196126-0690";#N/A,#N/A,FALSE,"196126-0690";#N/A,#N/A,FALSE,"1961165-0201"}</definedName>
    <definedName name="erteat">#REF!</definedName>
    <definedName name="ertet">#REF!</definedName>
    <definedName name="erwerwerwe" localSheetId="9" hidden="1">#REF!</definedName>
    <definedName name="erwerwerwe" hidden="1">#REF!</definedName>
    <definedName name="ery" localSheetId="13" hidden="1">{#N/A,#N/A,FALSE,"SUMMARY REPORT"}</definedName>
    <definedName name="ery" localSheetId="9" hidden="1">{#N/A,#N/A,FALSE,"SUMMARY REPORT"}</definedName>
    <definedName name="ery" hidden="1">{#N/A,#N/A,FALSE,"SUMMARY REPORT"}</definedName>
    <definedName name="eryq43y7">#REF!</definedName>
    <definedName name="ESC" localSheetId="13">#REF!</definedName>
    <definedName name="ESC">#REF!</definedName>
    <definedName name="et4twq">#REF!</definedName>
    <definedName name="eta34t">#REF!</definedName>
    <definedName name="etaet">#REF!</definedName>
    <definedName name="etu">#REF!</definedName>
    <definedName name="Europe_Average">#REF!</definedName>
    <definedName name="EV__LASTREFTIME__" hidden="1">40280.3830671296</definedName>
    <definedName name="eva">#REF!</definedName>
    <definedName name="EVPFCD">#REF!</definedName>
    <definedName name="EVPMktg.">#REF!</definedName>
    <definedName name="ewd" localSheetId="13" hidden="1">{#N/A,#N/A,FALSE,"SUMMARY REPORT"}</definedName>
    <definedName name="ewd" localSheetId="9" hidden="1">{#N/A,#N/A,FALSE,"SUMMARY REPORT"}</definedName>
    <definedName name="ewd" hidden="1">{#N/A,#N/A,FALSE,"SUMMARY REPORT"}</definedName>
    <definedName name="EWGFEWg">#REF!</definedName>
    <definedName name="ewq" localSheetId="13" hidden="1">{#N/A,#N/A,FALSE,"SUMMARY REPORT"}</definedName>
    <definedName name="ewq" localSheetId="9" hidden="1">{#N/A,#N/A,FALSE,"SUMMARY REPORT"}</definedName>
    <definedName name="ewq" hidden="1">{#N/A,#N/A,FALSE,"SUMMARY REPORT"}</definedName>
    <definedName name="ewtew">#REF!</definedName>
    <definedName name="ewtr" localSheetId="13">#REF!</definedName>
    <definedName name="ewtr">#REF!</definedName>
    <definedName name="EX" localSheetId="13">#REF!</definedName>
    <definedName name="EX">#REF!</definedName>
    <definedName name="Ex.Cost" localSheetId="13">#REF!</definedName>
    <definedName name="Ex.Cost">#REF!</definedName>
    <definedName name="EX_SUMMARY">#REF!</definedName>
    <definedName name="EXC">#REF!</definedName>
    <definedName name="Excel_BuiltIn__FilterDatabase_1">#REF!</definedName>
    <definedName name="Excel_BuiltIn__FilterDatabase_1_1">#REF!</definedName>
    <definedName name="Excel_BuiltIn__FilterDatabase_2">#REF!</definedName>
    <definedName name="Excel_BuiltIn__FilterDatabase_3" localSheetId="13">#REF!</definedName>
    <definedName name="Excel_BuiltIn__FilterDatabase_3">#REF!</definedName>
    <definedName name="Excel_BuiltIn__FilterDatabase_4" localSheetId="13">#REF!</definedName>
    <definedName name="Excel_BuiltIn__FilterDatabase_4">#REF!</definedName>
    <definedName name="Excel_BuiltIn__FilterDatabase_5" localSheetId="13">#REF!</definedName>
    <definedName name="Excel_BuiltIn__FilterDatabase_5">#REF!</definedName>
    <definedName name="Excel_BuiltIn__FilterDatabase_6">#REF!</definedName>
    <definedName name="Excel_BuiltIn__FilterDatabase_7">#REF!</definedName>
    <definedName name="Excel_BuiltIn_Criteria">NA()</definedName>
    <definedName name="Excel_BuiltIn_Database">NA()</definedName>
    <definedName name="Excel_BuiltIn_Extract">NA()</definedName>
    <definedName name="Excel_BuiltIn_Print_Area">NA()</definedName>
    <definedName name="Excel_BuiltIn_Print_Area_1">#REF!</definedName>
    <definedName name="Excel_BuiltIn_Print_Area_1_1" localSheetId="13">#REF!</definedName>
    <definedName name="Excel_BuiltIn_Print_Area_1_1">#REF!</definedName>
    <definedName name="Excel_BuiltIn_Print_Area_10" localSheetId="13">#REF!</definedName>
    <definedName name="Excel_BuiltIn_Print_Area_10">#REF!</definedName>
    <definedName name="Excel_BuiltIn_Print_Area_10_1" localSheetId="13">#REF!</definedName>
    <definedName name="Excel_BuiltIn_Print_Area_10_1">#REF!</definedName>
    <definedName name="Excel_BuiltIn_Print_Area_11">#REF!</definedName>
    <definedName name="Excel_BuiltIn_Print_Area_11_1">#REF!</definedName>
    <definedName name="Excel_BuiltIn_Print_Area_12" localSheetId="13">#REF!</definedName>
    <definedName name="Excel_BuiltIn_Print_Area_12">#REF!</definedName>
    <definedName name="Excel_BuiltIn_Print_Area_12_1">#REF!</definedName>
    <definedName name="Excel_BuiltIn_Print_Area_13">"$#REF!.$#REF!$#REF!:$#REF!$#REF!"</definedName>
    <definedName name="Excel_BuiltIn_Print_Area_13_1">#REF!</definedName>
    <definedName name="Excel_BuiltIn_Print_Area_14">"$#REF!.$#REF!$#REF!:$#REF!$#REF!"</definedName>
    <definedName name="Excel_BuiltIn_Print_Area_2">#REF!</definedName>
    <definedName name="Excel_BuiltIn_Print_Area_2_1">#REF!</definedName>
    <definedName name="Excel_BuiltIn_Print_Area_22_1">"$#REF!.$A$2:$E$84"</definedName>
    <definedName name="Excel_BuiltIn_Print_Area_24">"$#REF!.$#REF!$#REF!:$#REF!$#REF!"</definedName>
    <definedName name="Excel_BuiltIn_Print_Area_3_1">#REF!</definedName>
    <definedName name="Excel_BuiltIn_Print_Area_30">"$#REF!.$#REF!$#REF!:$#REF!$#REF!"</definedName>
    <definedName name="Excel_BuiltIn_Print_Area_4">"$#REF!.$A$2:$Y$64"</definedName>
    <definedName name="Excel_BuiltIn_Print_Area_4_1">#REF!</definedName>
    <definedName name="Excel_BuiltIn_Print_Area_4_1_1">#REF!</definedName>
    <definedName name="Excel_BuiltIn_Print_Area_5">"$#REF!.$#REF!$#REF!:$#REF!$#REF!"</definedName>
    <definedName name="Excel_BuiltIn_Print_Area_5_1">#REF!</definedName>
    <definedName name="Excel_BuiltIn_Print_Area_6_1" localSheetId="13">#REF!</definedName>
    <definedName name="Excel_BuiltIn_Print_Area_6_1">#REF!</definedName>
    <definedName name="Excel_BuiltIn_Print_Area_7_1" localSheetId="13">#REF!</definedName>
    <definedName name="Excel_BuiltIn_Print_Area_7_1">#REF!</definedName>
    <definedName name="Excel_BuiltIn_Print_Area_8_1" localSheetId="13">#REF!</definedName>
    <definedName name="Excel_BuiltIn_Print_Area_8_1">#REF!</definedName>
    <definedName name="Excel_BuiltIn_Print_Area_9_1">#REF!</definedName>
    <definedName name="Excel_BuiltIn_Print_Titles_12_1">NA()</definedName>
    <definedName name="Excel_BuiltIn_Print_Titles_13">#REF!</definedName>
    <definedName name="Excel_BuiltIn_Print_Titles_15_1">"$#REF!.$#REF!$#REF!:$#REF!$#REF!"</definedName>
    <definedName name="Excel_BuiltIn_Print_Titles_17_1">"$#REF!.$#REF!$#REF!:$#REF!$#REF!"</definedName>
    <definedName name="Excel_BuiltIn_Print_Titles_25_1">#REF!</definedName>
    <definedName name="Excel_BuiltIn_Print_Titles_28">#REF!</definedName>
    <definedName name="Excel_BuiltIn_Print_Titles_4_1">#REF!</definedName>
    <definedName name="Excel_BuiltIn_Print_Titles_5_1">#REF!</definedName>
    <definedName name="Excel_BuiltIn_Print_Titles_6_1">#REF!</definedName>
    <definedName name="Excel_BuiltIn_Print_Titles_8_1">#REF!</definedName>
    <definedName name="EXCEPDB" localSheetId="13">#REF!</definedName>
    <definedName name="EXCEPDB">#REF!</definedName>
    <definedName name="Except" localSheetId="13" hidden="1">{"F1 PAGE 1",#N/A,FALSE,"F1";"F1 PAGE 2",#N/A,FALSE,"F1"}</definedName>
    <definedName name="Except" localSheetId="9" hidden="1">{"F1 PAGE 1",#N/A,FALSE,"F1";"F1 PAGE 2",#N/A,FALSE,"F1"}</definedName>
    <definedName name="Except" hidden="1">{"F1 PAGE 1",#N/A,FALSE,"F1";"F1 PAGE 2",#N/A,FALSE,"F1"}</definedName>
    <definedName name="EXCH">#REF!</definedName>
    <definedName name="ExchangeRt">#REF!</definedName>
    <definedName name="Excise">#REF!</definedName>
    <definedName name="exfactcost">#REF!</definedName>
    <definedName name="exhi2" localSheetId="13">#REF!</definedName>
    <definedName name="exhi2">#REF!</definedName>
    <definedName name="exhibit1">"#REF!"</definedName>
    <definedName name="exhibit2" localSheetId="13">#REF!</definedName>
    <definedName name="exhibit2">#REF!</definedName>
    <definedName name="EXHT" hidden="1">15</definedName>
    <definedName name="EXHXV.1" localSheetId="13">#REF!</definedName>
    <definedName name="EXHXV.1">#REF!</definedName>
    <definedName name="EXHXVII.2" localSheetId="13">#REF!</definedName>
    <definedName name="EXHXVII.2">#REF!</definedName>
    <definedName name="exichange">#REF!</definedName>
    <definedName name="exp" localSheetId="9">"#REF!"</definedName>
    <definedName name="exp">#REF!</definedName>
    <definedName name="EXP.JAN.07" localSheetId="13" hidden="1">{"DJH3",#N/A,FALSE,"PFL00805";"PJB3",#N/A,FALSE,"PFL00805";"JMD3",#N/A,FALSE,"PFL00805";"DNB3",#N/A,FALSE,"PFL00805";"MJP3",#N/A,FALSE,"PFL00805";"RAB3",#N/A,FALSE,"PFL00805";"GJW3",#N/A,FALSE,"PFL00805";"MASTER3",#N/A,FALSE,"PFL00805"}</definedName>
    <definedName name="EXP.JAN.07" localSheetId="9" hidden="1">{"DJH3",#N/A,FALSE,"PFL00805";"PJB3",#N/A,FALSE,"PFL00805";"JMD3",#N/A,FALSE,"PFL00805";"DNB3",#N/A,FALSE,"PFL00805";"MJP3",#N/A,FALSE,"PFL00805";"RAB3",#N/A,FALSE,"PFL00805";"GJW3",#N/A,FALSE,"PFL00805";"MASTER3",#N/A,FALSE,"PFL00805"}</definedName>
    <definedName name="EXP.JAN.07" hidden="1">{"DJH3",#N/A,FALSE,"PFL00805";"PJB3",#N/A,FALSE,"PFL00805";"JMD3",#N/A,FALSE,"PFL00805";"DNB3",#N/A,FALSE,"PFL00805";"MJP3",#N/A,FALSE,"PFL00805";"RAB3",#N/A,FALSE,"PFL00805";"GJW3",#N/A,FALSE,"PFL00805";"MASTER3",#N/A,FALSE,"PFL00805"}</definedName>
    <definedName name="EXP3RD">#REF!</definedName>
    <definedName name="Expected_balance">#REF!</definedName>
    <definedName name="ExpiredLife">#REF!</definedName>
    <definedName name="ExRate">#REF!</definedName>
    <definedName name="ext" localSheetId="13" hidden="1">{#N/A,#N/A,FALSE,"196126-0690";#N/A,#N/A,FALSE,"196126-0690";#N/A,#N/A,FALSE,"1961165-0201"}</definedName>
    <definedName name="ext" localSheetId="9" hidden="1">{#N/A,#N/A,FALSE,"196126-0690";#N/A,#N/A,FALSE,"196126-0690";#N/A,#N/A,FALSE,"1961165-0201"}</definedName>
    <definedName name="ext" hidden="1">{#N/A,#N/A,FALSE,"196126-0690";#N/A,#N/A,FALSE,"196126-0690";#N/A,#N/A,FALSE,"1961165-0201"}</definedName>
    <definedName name="extra" localSheetId="13" hidden="1">{#N/A,#N/A,FALSE,"196126-0690";#N/A,#N/A,FALSE,"196126-0690";#N/A,#N/A,FALSE,"1961165-0201"}</definedName>
    <definedName name="extra" localSheetId="9" hidden="1">{#N/A,#N/A,FALSE,"196126-0690";#N/A,#N/A,FALSE,"196126-0690";#N/A,#N/A,FALSE,"1961165-0201"}</definedName>
    <definedName name="extra" hidden="1">{#N/A,#N/A,FALSE,"196126-0690";#N/A,#N/A,FALSE,"196126-0690";#N/A,#N/A,FALSE,"1961165-0201"}</definedName>
    <definedName name="Extra_Pay">#REF!</definedName>
    <definedName name="_xlnm.Extract">#REF!</definedName>
    <definedName name="EY5Y">#REF!</definedName>
    <definedName name="EYAge">#REF!</definedName>
    <definedName name="EYControl">#REF!</definedName>
    <definedName name="EYDEPAGE">#REF!</definedName>
    <definedName name="EYYear">#REF!</definedName>
    <definedName name="E列挿入" localSheetId="13">#REF!</definedName>
    <definedName name="E列挿入">#REF!</definedName>
    <definedName name="F" localSheetId="13">#REF!</definedName>
    <definedName name="F" localSheetId="9">#REF!</definedName>
    <definedName name="F">#REF!</definedName>
    <definedName name="F_F" localSheetId="13">#REF!</definedName>
    <definedName name="F_F">#REF!</definedName>
    <definedName name="F_Patel">#REF!</definedName>
    <definedName name="fa" localSheetId="9" hidden="1">#REF!</definedName>
    <definedName name="fa" hidden="1">#REF!</definedName>
    <definedName name="FABRICATORS">#REF!</definedName>
    <definedName name="FAC" localSheetId="13" hidden="1">{TRUE,FALSE,-1.25,-15.5,484.5,293.25,FALSE,TRUE,TRUE,TRUE,0,1,3,329,#N/A,1,21.8823529411765,2,TRUE,FALSE,3,TRUE,1,TRUE,100,"Swvu.a.","ACwvu.a.",#N/A,FALSE,FALSE,0.1,2.66,1.35,0,2,"","",TRUE,FALSE,FALSE,TRUE,1,87,#N/A,#N/A,"=R354C1:R476C10",FALSE,FALSE,FALSE,FALSE,FALSE,FALSE,5,300,300,FALSE,FALSE,TRUE,TRUE,TRUE}</definedName>
    <definedName name="FAC" localSheetId="9" hidden="1">{TRUE,FALSE,-1.25,-15.5,484.5,293.25,FALSE,TRUE,TRUE,TRUE,0,1,3,329,#N/A,1,21.8823529411765,2,TRUE,FALSE,3,TRUE,1,TRUE,100,"Swvu.a.","ACwvu.a.",#N/A,FALSE,FALSE,0.1,2.66,1.35,0,2,"","",TRUE,FALSE,FALSE,TRUE,1,87,#N/A,#N/A,"=R354C1:R476C10",FALSE,FALSE,FALSE,FALSE,FALSE,FALSE,5,300,300,FALSE,FALSE,TRUE,TRUE,TRUE}</definedName>
    <definedName name="FAC" hidden="1">{TRUE,FALSE,-1.25,-15.5,484.5,293.25,FALSE,TRUE,TRUE,TRUE,0,1,3,329,#N/A,1,21.8823529411765,2,TRUE,FALSE,3,TRUE,1,TRUE,100,"Swvu.a.","ACwvu.a.",#N/A,FALSE,FALSE,0.1,2.66,1.35,0,2,"","",TRUE,FALSE,FALSE,TRUE,1,87,#N/A,#N/A,"=R354C1:R476C10",FALSE,FALSE,FALSE,FALSE,FALSE,FALSE,5,300,300,FALSE,FALSE,TRUE,TRUE,TRUE}</definedName>
    <definedName name="facost">#REF!,#REF!,#REF!,#REF!,#REF!,#REF!,#REF!,#REF!,#REF!,#REF!,#REF!,#REF!</definedName>
    <definedName name="facostnew">#REF!,#REF!,#REF!,#REF!,#REF!,#REF!,#REF!,#REF!,#REF!,#REF!,#REF!,#REF!,#REF!</definedName>
    <definedName name="factoryeqip" localSheetId="13">#REF!</definedName>
    <definedName name="factoryeqip">#REF!</definedName>
    <definedName name="FairValue">#REF!</definedName>
    <definedName name="FARDATE">#REF!</definedName>
    <definedName name="FASch" localSheetId="13">#REF!</definedName>
    <definedName name="FASch">#REF!</definedName>
    <definedName name="fasfdasd" localSheetId="13" hidden="1">#REF!</definedName>
    <definedName name="fasfdasd" localSheetId="9" hidden="1">#REF!</definedName>
    <definedName name="fasfdasd" hidden="1">#REF!</definedName>
    <definedName name="Fatty_Acids__Price__Rs___Unit" localSheetId="13">#REF!</definedName>
    <definedName name="Fatty_Acids__Price__Rs___Unit">#REF!</definedName>
    <definedName name="Fatty_Acids__Volume__Units" localSheetId="13">#REF!</definedName>
    <definedName name="Fatty_Acids__Volume__Units">#REF!</definedName>
    <definedName name="Fatty_Alcohols__Price__Rs___Unit">#REF!</definedName>
    <definedName name="FAXNO" localSheetId="13">#REF!</definedName>
    <definedName name="FAXNO">#REF!</definedName>
    <definedName name="fbsales">#REF!</definedName>
    <definedName name="FBT" localSheetId="13" hidden="1">{#N/A,#N/A,FALSE,"SUMMARY REPORT"}</definedName>
    <definedName name="FBT" localSheetId="9" hidden="1">{#N/A,#N/A,FALSE,"SUMMARY REPORT"}</definedName>
    <definedName name="FBT" hidden="1">{#N/A,#N/A,FALSE,"SUMMARY REPORT"}</definedName>
    <definedName name="FC5_total">#REF!</definedName>
    <definedName name="FC6_total">#REF!</definedName>
    <definedName name="FCDTotal">#REF!</definedName>
    <definedName name="FCode" localSheetId="9" hidden="1">#REF!</definedName>
    <definedName name="FCode" hidden="1">#REF!</definedName>
    <definedName name="Fcst">#REF!</definedName>
    <definedName name="fd">#REF!</definedName>
    <definedName name="FDDFDDFDFDFD" localSheetId="13" hidden="1">{"DJH3",#N/A,FALSE,"PFL00805";"PJB3",#N/A,FALSE,"PFL00805";"JMD3",#N/A,FALSE,"PFL00805";"DNB3",#N/A,FALSE,"PFL00805";"MJP3",#N/A,FALSE,"PFL00805";"RAB3",#N/A,FALSE,"PFL00805";"GJW3",#N/A,FALSE,"PFL00805";"MASTER3",#N/A,FALSE,"PFL00805"}</definedName>
    <definedName name="FDDFDDFDFDFD" localSheetId="9"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13" hidden="1">{"DJH3",#N/A,FALSE,"PFL00805";"PJB3",#N/A,FALSE,"PFL00805";"JMD3",#N/A,FALSE,"PFL00805";"DNB3",#N/A,FALSE,"PFL00805";"MJP3",#N/A,FALSE,"PFL00805";"RAB3",#N/A,FALSE,"PFL00805";"GJW3",#N/A,FALSE,"PFL00805";"MASTER3",#N/A,FALSE,"PFL00805"}</definedName>
    <definedName name="fdefdfdfdf" localSheetId="9"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FDDFDFDFDF" localSheetId="13" hidden="1">{"DJH3",#N/A,FALSE,"PFL00805";"PJB3",#N/A,FALSE,"PFL00805";"JMD3",#N/A,FALSE,"PFL00805";"DNB3",#N/A,FALSE,"PFL00805";"MJP3",#N/A,FALSE,"PFL00805";"RAB3",#N/A,FALSE,"PFL00805";"GJW3",#N/A,FALSE,"PFL00805";"MASTER3",#N/A,FALSE,"PFL00805"}</definedName>
    <definedName name="FDFDFDDFDFDFDF" localSheetId="9"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13" hidden="1">{"DJH3",#N/A,FALSE,"PFL00805";"PJB3",#N/A,FALSE,"PFL00805";"JMD3",#N/A,FALSE,"PFL00805";"DNB3",#N/A,FALSE,"PFL00805";"MJP3",#N/A,FALSE,"PFL00805";"RAB3",#N/A,FALSE,"PFL00805";"GJW3",#N/A,FALSE,"PFL00805";"MASTER3",#N/A,FALSE,"PFL00805"}</definedName>
    <definedName name="FDFDFDFDFDFDDFD" localSheetId="9"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13" hidden="1">{"DJH3",#N/A,FALSE,"PFL00805";"PJB3",#N/A,FALSE,"PFL00805";"JMD3",#N/A,FALSE,"PFL00805";"DNB3",#N/A,FALSE,"PFL00805";"MJP3",#N/A,FALSE,"PFL00805";"RAB3",#N/A,FALSE,"PFL00805";"GJW3",#N/A,FALSE,"PFL00805";"MASTER3",#N/A,FALSE,"PFL00805"}</definedName>
    <definedName name="fdfdfdfdfdfdf" localSheetId="9"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O"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13" hidden="1">{#N/A,#N/A,FALSE,"SUMMARY REPORT"}</definedName>
    <definedName name="fds" localSheetId="9" hidden="1">{#N/A,#N/A,FALSE,"SUMMARY REPORT"}</definedName>
    <definedName name="fds" hidden="1">{#N/A,#N/A,FALSE,"SUMMARY REPORT"}</definedName>
    <definedName name="FEB">#N/A</definedName>
    <definedName name="FEBDATA?">#REF!</definedName>
    <definedName name="FEF">#REF!</definedName>
    <definedName name="ff" localSheetId="13" hidden="1">{"F1 PAGE 1",#N/A,FALSE,"F1";"F1 PAGE 2",#N/A,FALSE,"F1"}</definedName>
    <definedName name="ff" localSheetId="9" hidden="1">{"F1 PAGE 1",#N/A,FALSE,"F1";"F1 PAGE 2",#N/A,FALSE,"F1"}</definedName>
    <definedName name="ff" hidden="1">{"F1 PAGE 1",#N/A,FALSE,"F1";"F1 PAGE 2",#N/A,FALSE,"F1"}</definedName>
    <definedName name="FF_945_956">#REF!</definedName>
    <definedName name="FF_967">#REF!</definedName>
    <definedName name="FFAPPCOLNAME1_1">#REF!</definedName>
    <definedName name="FFAPPCOLNAME1_2">#REF!</definedName>
    <definedName name="FFAPPCOLNAME1_3">#REF!</definedName>
    <definedName name="FFAPPCOLNAME1_4">#REF!</definedName>
    <definedName name="FFAPPCOLNAME1_5">#REF!</definedName>
    <definedName name="FFAPPCOLNAME1_6">#REF!</definedName>
    <definedName name="FFAPPCOLNAME1_7">#REF!</definedName>
    <definedName name="FFAPPCOLNAME2_1">#REF!</definedName>
    <definedName name="FFAPPCOLNAME2_2">#REF!</definedName>
    <definedName name="FFAPPCOLNAME2_3">#REF!</definedName>
    <definedName name="FFAPPCOLNAME2_4">#REF!</definedName>
    <definedName name="FFAPPCOLNAME2_5">#REF!</definedName>
    <definedName name="FFAPPCOLNAME2_6">#REF!</definedName>
    <definedName name="FFAPPCOLNAME2_7">#REF!</definedName>
    <definedName name="FFAPPCOLNAME3_1">#REF!</definedName>
    <definedName name="FFAPPCOLNAME3_2">#REF!</definedName>
    <definedName name="FFAPPCOLNAME3_3">#REF!</definedName>
    <definedName name="FFAPPCOLNAME3_4">#REF!</definedName>
    <definedName name="FFAPPCOLNAME3_5">#REF!</definedName>
    <definedName name="FFAPPCOLNAME3_6">#REF!</definedName>
    <definedName name="FFAPPCOLNAME3_7">#REF!</definedName>
    <definedName name="FFAPPCOLNAME4_1">#REF!</definedName>
    <definedName name="FFAPPCOLNAME4_2">#REF!</definedName>
    <definedName name="FFAPPCOLNAME4_3">#REF!</definedName>
    <definedName name="FFAPPCOLNAME4_4">#REF!</definedName>
    <definedName name="FFAPPCOLNAME4_5">#REF!</definedName>
    <definedName name="FFAPPCOLNAME4_6">#REF!</definedName>
    <definedName name="FFAPPCOLNAME4_7">#REF!</definedName>
    <definedName name="FFAPPCOLNAME5_1">#REF!</definedName>
    <definedName name="FFAPPCOLNAME5_2">#REF!</definedName>
    <definedName name="FFAPPCOLNAME5_3">#REF!</definedName>
    <definedName name="FFAPPCOLNAME5_4">#REF!</definedName>
    <definedName name="FFAPPCOLNAME5_5">#REF!</definedName>
    <definedName name="FFAPPCOLNAME5_6">#REF!</definedName>
    <definedName name="FFAPPCOLNAME5_7">#REF!</definedName>
    <definedName name="FFAPPCOLNAME6_1">#REF!</definedName>
    <definedName name="FFAPPCOLNAME6_2">#REF!</definedName>
    <definedName name="FFAPPCOLNAME6_3">#REF!</definedName>
    <definedName name="FFAPPCOLNAME6_4">#REF!</definedName>
    <definedName name="FFAPPCOLNAME6_5">#REF!</definedName>
    <definedName name="FFAPPCOLNAME6_6">#REF!</definedName>
    <definedName name="FFAPPCOLNAME6_7">#REF!</definedName>
    <definedName name="fff" localSheetId="13" hidden="1">{#N/A,#N/A,FALSE,"인원";#N/A,#N/A,FALSE,"비용2";#N/A,#N/A,FALSE,"비용1";#N/A,#N/A,FALSE,"비용";#N/A,#N/A,FALSE,"보증2";#N/A,#N/A,FALSE,"보증1";#N/A,#N/A,FALSE,"보증";#N/A,#N/A,FALSE,"손익1";#N/A,#N/A,FALSE,"손익";#N/A,#N/A,FALSE,"부서별매출";#N/A,#N/A,FALSE,"매출"}</definedName>
    <definedName name="fff" localSheetId="9" hidden="1">{#N/A,#N/A,FALSE,"인원";#N/A,#N/A,FALSE,"비용2";#N/A,#N/A,FALSE,"비용1";#N/A,#N/A,FALSE,"비용";#N/A,#N/A,FALSE,"보증2";#N/A,#N/A,FALSE,"보증1";#N/A,#N/A,FALSE,"보증";#N/A,#N/A,FALSE,"손익1";#N/A,#N/A,FALSE,"손익";#N/A,#N/A,FALSE,"부서별매출";#N/A,#N/A,FALSE,"매출"}</definedName>
    <definedName name="fff" hidden="1">{#N/A,#N/A,FALSE,"인원";#N/A,#N/A,FALSE,"비용2";#N/A,#N/A,FALSE,"비용1";#N/A,#N/A,FALSE,"비용";#N/A,#N/A,FALSE,"보증2";#N/A,#N/A,FALSE,"보증1";#N/A,#N/A,FALSE,"보증";#N/A,#N/A,FALSE,"손익1";#N/A,#N/A,FALSE,"손익";#N/A,#N/A,FALSE,"부서별매출";#N/A,#N/A,FALSE,"매출"}</definedName>
    <definedName name="FFLOW">#REF!</definedName>
    <definedName name="FFSEGMENT1_1">#REF!</definedName>
    <definedName name="FFSEGMENT1_2">#REF!</definedName>
    <definedName name="FFSEGMENT1_3">#REF!</definedName>
    <definedName name="FFSEGMENT1_4">#REF!</definedName>
    <definedName name="FFSEGMENT1_5">#REF!</definedName>
    <definedName name="FFSEGMENT1_6">#REF!</definedName>
    <definedName name="FFSEGMENT1_7">#REF!</definedName>
    <definedName name="FFSEGMENT2_1">#REF!</definedName>
    <definedName name="FFSEGMENT2_2">#REF!</definedName>
    <definedName name="FFSEGMENT2_3">#REF!</definedName>
    <definedName name="FFSEGMENT2_4">#REF!</definedName>
    <definedName name="FFSEGMENT2_5">#REF!</definedName>
    <definedName name="FFSEGMENT2_6">#REF!</definedName>
    <definedName name="FFSEGMENT2_7">#REF!</definedName>
    <definedName name="FFSEGMENT3_1">#REF!</definedName>
    <definedName name="FFSEGMENT3_2">#REF!</definedName>
    <definedName name="FFSEGMENT3_3">#REF!</definedName>
    <definedName name="FFSEGMENT3_4">#REF!</definedName>
    <definedName name="FFSEGMENT3_5">#REF!</definedName>
    <definedName name="FFSEGMENT3_6">#REF!</definedName>
    <definedName name="FFSEGMENT3_7">#REF!</definedName>
    <definedName name="FFSEGMENT4_1">#REF!</definedName>
    <definedName name="FFSEGMENT4_2">#REF!</definedName>
    <definedName name="FFSEGMENT4_3">#REF!</definedName>
    <definedName name="FFSEGMENT4_4">#REF!</definedName>
    <definedName name="FFSEGMENT4_5">#REF!</definedName>
    <definedName name="FFSEGMENT4_6">#REF!</definedName>
    <definedName name="FFSEGMENT4_7">#REF!</definedName>
    <definedName name="FFSEGMENT5_1">#REF!</definedName>
    <definedName name="FFSEGMENT5_2">#REF!</definedName>
    <definedName name="FFSEGMENT5_3">#REF!</definedName>
    <definedName name="FFSEGMENT5_4">#REF!</definedName>
    <definedName name="FFSEGMENT5_5">#REF!</definedName>
    <definedName name="FFSEGMENT5_6">#REF!</definedName>
    <definedName name="FFSEGMENT5_7">#REF!</definedName>
    <definedName name="FFSEGMENT6_1">#REF!</definedName>
    <definedName name="FFSEGMENT6_2">#REF!</definedName>
    <definedName name="FFSEGMENT6_3">#REF!</definedName>
    <definedName name="FFSEGMENT6_4">#REF!</definedName>
    <definedName name="FFSEGMENT6_5">#REF!</definedName>
    <definedName name="FFSEGMENT6_6">#REF!</definedName>
    <definedName name="FFSEGMENT6_7">#REF!</definedName>
    <definedName name="FFSEGSEPARATOR1">#REF!</definedName>
    <definedName name="FFSEGSEPARATOR2">#REF!</definedName>
    <definedName name="FFSEGSEPARATOR3">#REF!</definedName>
    <definedName name="FFSEGSEPARATOR4">#REF!</definedName>
    <definedName name="FFSEGSEPARATOR5">#REF!</definedName>
    <definedName name="FFSEGSEPARATOR6">#REF!</definedName>
    <definedName name="FFSEGSEPARATOR7">#REF!</definedName>
    <definedName name="fg" localSheetId="13" hidden="1">{#N/A,#N/A,FALSE,"Aging Summary";#N/A,#N/A,FALSE,"Ratio Analysis";#N/A,#N/A,FALSE,"Test 120 Day Accts";#N/A,#N/A,FALSE,"Tickmarks"}</definedName>
    <definedName name="fg" localSheetId="9" hidden="1">{#N/A,#N/A,FALSE,"Aging Summary";#N/A,#N/A,FALSE,"Ratio Analysis";#N/A,#N/A,FALSE,"Test 120 Day Accts";#N/A,#N/A,FALSE,"Tickmarks"}</definedName>
    <definedName name="fg" hidden="1">{#N/A,#N/A,FALSE,"Aging Summary";#N/A,#N/A,FALSE,"Ratio Analysis";#N/A,#N/A,FALSE,"Test 120 Day Accts";#N/A,#N/A,FALSE,"Tickmarks"}</definedName>
    <definedName name="fgdsfdsf" hidden="1">#REF!</definedName>
    <definedName name="fgvdata" localSheetId="13">#REF!</definedName>
    <definedName name="fgvdata">#REF!</definedName>
    <definedName name="FGVDFG" localSheetId="13" hidden="1">{#N/A,#N/A,FALSE,"Staffnos &amp; cost"}</definedName>
    <definedName name="FGVDFG" localSheetId="9" hidden="1">{#N/A,#N/A,FALSE,"Staffnos &amp; cost"}</definedName>
    <definedName name="FGVDFG" hidden="1">{#N/A,#N/A,FALSE,"Staffnos &amp; cost"}</definedName>
    <definedName name="FIELDNAMECOLUMN1">#REF!</definedName>
    <definedName name="FIELDNAMECOLUMN2">#REF!</definedName>
    <definedName name="FIELDNAMECOLUMN3">#REF!</definedName>
    <definedName name="FIELDNAMECOLUMN4">#REF!</definedName>
    <definedName name="FIELDNAMECOLUMN5">#REF!</definedName>
    <definedName name="FIELDNAMECOLUMN6">#REF!</definedName>
    <definedName name="FIELDNAMECOLUMN7">#REF!</definedName>
    <definedName name="FIELDNAMEROW1">#REF!</definedName>
    <definedName name="FIELDNAMEROW2">#REF!</definedName>
    <definedName name="FIELDNAMEROW3">#REF!</definedName>
    <definedName name="FIELDNAMEROW4">#REF!</definedName>
    <definedName name="FIELDNAMEROW5">#REF!</definedName>
    <definedName name="FIELDNAMEROW6">#REF!</definedName>
    <definedName name="FIELDNAMEROW7">#REF!</definedName>
    <definedName name="FIGURES">#REF!</definedName>
    <definedName name="fill" localSheetId="13" hidden="1">#REF!</definedName>
    <definedName name="fill" localSheetId="9" hidden="1">#REF!</definedName>
    <definedName name="fill" hidden="1">#REF!</definedName>
    <definedName name="finally">#REF!</definedName>
    <definedName name="finance">#REF!</definedName>
    <definedName name="FinGds">#REF!</definedName>
    <definedName name="Finland">#REF!</definedName>
    <definedName name="FINSUM" localSheetId="13">#REF!</definedName>
    <definedName name="FINSUM">#REF!</definedName>
    <definedName name="FINYEAR">#REF!</definedName>
    <definedName name="FIRE">#N/A</definedName>
    <definedName name="FirstCommYr">#REF!</definedName>
    <definedName name="FIRSTDATAROW1">#REF!</definedName>
    <definedName name="FIRSTDATAROW2">#REF!</definedName>
    <definedName name="FIRSTDATAROW3">#REF!</definedName>
    <definedName name="FIRSTDATAROW4">#REF!</definedName>
    <definedName name="FIRSTDATAROW5">#REF!</definedName>
    <definedName name="FIRSTDATAROW6">#REF!</definedName>
    <definedName name="FIRSTDATAROW7">#REF!</definedName>
    <definedName name="FIVEDAY">#REF!</definedName>
    <definedName name="fixed" localSheetId="9" hidden="1">#REF!</definedName>
    <definedName name="fixed" hidden="1">#REF!</definedName>
    <definedName name="FJ_FX13">#REF!</definedName>
    <definedName name="fkfkfkf" localSheetId="13" hidden="1">{"DJH3",#N/A,FALSE,"PFL00805";"PJB3",#N/A,FALSE,"PFL00805";"JMD3",#N/A,FALSE,"PFL00805";"DNB3",#N/A,FALSE,"PFL00805";"MJP3",#N/A,FALSE,"PFL00805";"RAB3",#N/A,FALSE,"PFL00805";"GJW3",#N/A,FALSE,"PFL00805";"MASTER3",#N/A,FALSE,"PFL00805"}</definedName>
    <definedName name="fkfkfkf" localSheetId="9"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LOW">#REF!</definedName>
    <definedName name="FM">#REF!</definedName>
    <definedName name="FNDNAM1">#REF!</definedName>
    <definedName name="FNDNAM2">#REF!</definedName>
    <definedName name="FNDNAM3">#REF!</definedName>
    <definedName name="FNDNAM4">#REF!</definedName>
    <definedName name="FNDNAM5">#REF!</definedName>
    <definedName name="FNDNAM6">#REF!</definedName>
    <definedName name="FNDNAM7">#REF!</definedName>
    <definedName name="FNDUSERID1">#REF!</definedName>
    <definedName name="FNDUSERID2">#REF!</definedName>
    <definedName name="FNDUSERID3">#REF!</definedName>
    <definedName name="FNDUSERID4">#REF!</definedName>
    <definedName name="FNDUSERID5">#REF!</definedName>
    <definedName name="FNDUSERID6">#REF!</definedName>
    <definedName name="FNDUSERID7">#REF!</definedName>
    <definedName name="fob" localSheetId="13" hidden="1">{TRUE,FALSE,-1.25,-15.5,484.5,293.25,FALSE,TRUE,TRUE,TRUE,0,1,3,329,#N/A,1,21.8823529411765,2,TRUE,FALSE,3,TRUE,1,TRUE,100,"Swvu.a.","ACwvu.a.",#N/A,FALSE,FALSE,0.1,2.66,1.35,0,2,"","",TRUE,FALSE,FALSE,TRUE,1,87,#N/A,#N/A,"=R354C1:R476C10",FALSE,FALSE,FALSE,FALSE,FALSE,FALSE,5,300,300,FALSE,FALSE,TRUE,TRUE,TRUE}</definedName>
    <definedName name="fob" localSheetId="9" hidden="1">{TRUE,FALSE,-1.25,-15.5,484.5,293.25,FALSE,TRUE,TRUE,TRUE,0,1,3,329,#N/A,1,21.8823529411765,2,TRUE,FALSE,3,TRUE,1,TRUE,100,"Swvu.a.","ACwvu.a.",#N/A,FALSE,FALSE,0.1,2.66,1.35,0,2,"","",TRUE,FALSE,FALSE,TRUE,1,87,#N/A,#N/A,"=R354C1:R476C10",FALSE,FALSE,FALSE,FALSE,FALSE,FALSE,5,300,300,FALSE,FALSE,TRUE,TRUE,TRUE}</definedName>
    <definedName name="fob" hidden="1">{TRUE,FALSE,-1.25,-15.5,484.5,293.25,FALSE,TRUE,TRUE,TRUE,0,1,3,329,#N/A,1,21.8823529411765,2,TRUE,FALSE,3,TRUE,1,TRUE,100,"Swvu.a.","ACwvu.a.",#N/A,FALSE,FALSE,0.1,2.66,1.35,0,2,"","",TRUE,FALSE,FALSE,TRUE,1,87,#N/A,#N/A,"=R354C1:R476C10",FALSE,FALSE,FALSE,FALSE,FALSE,FALSE,5,300,300,FALSE,FALSE,TRUE,TRUE,TRUE}</definedName>
    <definedName name="Foodser">#REF!</definedName>
    <definedName name="FORECAST">#REF!</definedName>
    <definedName name="forecastoff">#REF!</definedName>
    <definedName name="forecastonl">#REF!</definedName>
    <definedName name="Format">#REF!</definedName>
    <definedName name="FormatStringTable">#REF!</definedName>
    <definedName name="Fortytwo" localSheetId="13">#REF!</definedName>
    <definedName name="Fortytwo">#REF!</definedName>
    <definedName name="foundry">#REF!</definedName>
    <definedName name="Foundry_1">#REF!</definedName>
    <definedName name="Foundry_2">#REF!</definedName>
    <definedName name="Foundry_3">#REF!</definedName>
    <definedName name="Foundry_4">#REF!</definedName>
    <definedName name="Foundry_5">#REF!</definedName>
    <definedName name="Foundry_Cost_00">#REF!</definedName>
    <definedName name="Foundry_Cost_00_Q1">#REF!</definedName>
    <definedName name="Foundry_Cost_00_Q2">#REF!</definedName>
    <definedName name="Foundry_Cost_00_Q3">#REF!</definedName>
    <definedName name="Foundry_Cost_00_Q4">#REF!</definedName>
    <definedName name="Foundry_Cost_01">#REF!</definedName>
    <definedName name="Foundry_Cost_01_Q1">#REF!</definedName>
    <definedName name="Foundry_Cost_01_Q2">#REF!</definedName>
    <definedName name="Foundry_Cost_01_Q3">#REF!</definedName>
    <definedName name="Foundry_Cost_01_Q4">#REF!</definedName>
    <definedName name="Foundry_Cost_02">#REF!</definedName>
    <definedName name="Foundry_Cost_02_Q1">#REF!</definedName>
    <definedName name="Foundry_Cost_02_Q2">#REF!</definedName>
    <definedName name="Foundry_Cost_02_Q3">#REF!</definedName>
    <definedName name="Foundry_Cost_02_Q4">#REF!</definedName>
    <definedName name="Foundry_DD_00">#REF!</definedName>
    <definedName name="Foundry_DD_00_Q1">#REF!</definedName>
    <definedName name="Foundry_DD_00_Q2">#REF!</definedName>
    <definedName name="Foundry_DD_00_Q3">#REF!</definedName>
    <definedName name="Foundry_DD_00_Q4">#REF!</definedName>
    <definedName name="Foundry_DD_01">#REF!</definedName>
    <definedName name="Foundry_DD_01_Q1">#REF!</definedName>
    <definedName name="Foundry_DD_01_Q2">#REF!</definedName>
    <definedName name="Foundry_DD_01_Q3">#REF!</definedName>
    <definedName name="Foundry_DD_01_Q4">#REF!</definedName>
    <definedName name="Foundry_DD_02">#REF!</definedName>
    <definedName name="Foundry_DD_02_Q1">#REF!</definedName>
    <definedName name="Foundry_DD_02_Q2">#REF!</definedName>
    <definedName name="Foundry_DD_02_Q3">#REF!</definedName>
    <definedName name="Foundry_DD_02_Q4">#REF!</definedName>
    <definedName name="Foundry_ID">#REF!</definedName>
    <definedName name="Foundry_LOH_00">#REF!</definedName>
    <definedName name="Foundry_LOH_00_Q1">#REF!</definedName>
    <definedName name="Foundry_LOH_00_Q2">#REF!</definedName>
    <definedName name="Foundry_LOH_00_Q3">#REF!</definedName>
    <definedName name="Foundry_LOH_00_Q4">#REF!</definedName>
    <definedName name="Foundry_LOH_01">#REF!</definedName>
    <definedName name="Foundry_LOH_01_Q1">#REF!</definedName>
    <definedName name="Foundry_LOH_01_Q2">#REF!</definedName>
    <definedName name="Foundry_LOH_01_Q3">#REF!</definedName>
    <definedName name="Foundry_LOH_01_Q4">#REF!</definedName>
    <definedName name="Foundry_LOH_02">#REF!</definedName>
    <definedName name="Foundry_LOH_02_Q1">#REF!</definedName>
    <definedName name="Foundry_LOH_02_Q2">#REF!</definedName>
    <definedName name="Foundry_LOH_02_Q3">#REF!</definedName>
    <definedName name="Foundry_LOH_02_Q4">#REF!</definedName>
    <definedName name="Foundry_Map_00">#REF!</definedName>
    <definedName name="Foundry_Map_00_Q1">#REF!</definedName>
    <definedName name="Foundry_Map_00_Q2">#REF!</definedName>
    <definedName name="Foundry_Map_00_Q3">#REF!</definedName>
    <definedName name="Foundry_Map_00_Q4">#REF!</definedName>
    <definedName name="Foundry_Map_01">#REF!</definedName>
    <definedName name="Foundry_Map_01_Q1">#REF!</definedName>
    <definedName name="Foundry_Map_01_Q2">#REF!</definedName>
    <definedName name="Foundry_Map_01_Q3">#REF!</definedName>
    <definedName name="Foundry_Map_01_Q4">#REF!</definedName>
    <definedName name="Foundry_Map_02">#REF!</definedName>
    <definedName name="Foundry_Map_02_Q1">#REF!</definedName>
    <definedName name="Foundry_Map_02_Q2">#REF!</definedName>
    <definedName name="Foundry_Map_02_Q3">#REF!</definedName>
    <definedName name="Foundry_Map_02_Q4">#REF!</definedName>
    <definedName name="Foundry_NP_00">#REF!</definedName>
    <definedName name="Foundry_NP_00_Q1">#REF!</definedName>
    <definedName name="Foundry_NP_00_Q2">#REF!</definedName>
    <definedName name="Foundry_NP_00_Q3">#REF!</definedName>
    <definedName name="Foundry_NP_00_Q4">#REF!</definedName>
    <definedName name="Foundry_NP_01">#REF!</definedName>
    <definedName name="Foundry_NP_01_Q1">#REF!</definedName>
    <definedName name="Foundry_NP_01_Q2">#REF!</definedName>
    <definedName name="Foundry_NP_01_Q3">#REF!</definedName>
    <definedName name="Foundry_NP_01_Q4">#REF!</definedName>
    <definedName name="Foundry_NP_02">#REF!</definedName>
    <definedName name="Foundry_NP_02_Q1">#REF!</definedName>
    <definedName name="Foundry_NP_02_Q2">#REF!</definedName>
    <definedName name="Foundry_NP_02_Q3">#REF!</definedName>
    <definedName name="Foundry_NP_02_Q4">#REF!</definedName>
    <definedName name="Foundry_Process">#REF!</definedName>
    <definedName name="Foundry_Size">#REF!</definedName>
    <definedName name="Foundry_Step_00">#REF!</definedName>
    <definedName name="Foundry_Step_00_Q1">#REF!</definedName>
    <definedName name="Foundry_Step_00_Q2">#REF!</definedName>
    <definedName name="Foundry_Step_00_Q3">#REF!</definedName>
    <definedName name="Foundry_Step_00_Q4">#REF!</definedName>
    <definedName name="Foundry_Step_01">#REF!</definedName>
    <definedName name="Foundry_Step_01_Q1">#REF!</definedName>
    <definedName name="Foundry_Step_01_Q2">#REF!</definedName>
    <definedName name="Foundry_Step_01_Q3">#REF!</definedName>
    <definedName name="Foundry_Step_01_Q4">#REF!</definedName>
    <definedName name="Foundry_Step_02">#REF!</definedName>
    <definedName name="Foundry_Step_02_Q1">#REF!</definedName>
    <definedName name="Foundry_Step_02_Q2">#REF!</definedName>
    <definedName name="Foundry_Step_02_Q3">#REF!</definedName>
    <definedName name="Foundry_Step_02_Q4">#REF!</definedName>
    <definedName name="foxdata" localSheetId="13">#REF!</definedName>
    <definedName name="foxdata">#REF!</definedName>
    <definedName name="fr" localSheetId="13" hidden="1">{#N/A,#N/A,FALSE,"SUMMARY REPORT"}</definedName>
    <definedName name="fr" localSheetId="9" hidden="1">{#N/A,#N/A,FALSE,"SUMMARY REPORT"}</definedName>
    <definedName name="fr" hidden="1">{#N/A,#N/A,FALSE,"SUMMARY REPORT"}</definedName>
    <definedName name="france">#REF!</definedName>
    <definedName name="Freight" localSheetId="13" hidden="1">{#N/A,#N/A,FALSE,"SUMMARY REPORT"}</definedName>
    <definedName name="Freight" localSheetId="9" hidden="1">{#N/A,#N/A,FALSE,"SUMMARY REPORT"}</definedName>
    <definedName name="Freight" hidden="1">{#N/A,#N/A,FALSE,"SUMMARY REPORT"}</definedName>
    <definedName name="FRGHT">#REF!</definedName>
    <definedName name="frt" localSheetId="13" hidden="1">{#N/A,#N/A,FALSE,"SUMMARY REPORT"}</definedName>
    <definedName name="frt" localSheetId="9" hidden="1">{#N/A,#N/A,FALSE,"SUMMARY REPORT"}</definedName>
    <definedName name="frt" hidden="1">{#N/A,#N/A,FALSE,"SUMMARY REPORT"}</definedName>
    <definedName name="FSDS" localSheetId="13" hidden="1">{#N/A,#N/A,FALSE,"SUMMARY REPORT"}</definedName>
    <definedName name="FSDS" localSheetId="9" hidden="1">{#N/A,#N/A,FALSE,"SUMMARY REPORT"}</definedName>
    <definedName name="FSDS" hidden="1">{#N/A,#N/A,FALSE,"SUMMARY REPORT"}</definedName>
    <definedName name="Fuel" localSheetId="13" hidden="1">{TRUE,FALSE,-1.25,-15.5,484.5,293.25,FALSE,TRUE,TRUE,TRUE,0,1,3,329,#N/A,1,21.8823529411765,2,TRUE,FALSE,3,TRUE,1,TRUE,100,"Swvu.a.","ACwvu.a.",#N/A,FALSE,FALSE,0.1,2.66,1.35,0,2,"","",TRUE,FALSE,FALSE,TRUE,1,87,#N/A,#N/A,"=R354C1:R476C10",FALSE,FALSE,FALSE,FALSE,FALSE,FALSE,5,300,300,FALSE,FALSE,TRUE,TRUE,TRUE}</definedName>
    <definedName name="Fuel" localSheetId="9" hidden="1">{TRUE,FALSE,-1.25,-15.5,484.5,293.25,FALSE,TRUE,TRUE,TRUE,0,1,3,329,#N/A,1,21.8823529411765,2,TRUE,FALSE,3,TRUE,1,TRUE,100,"Swvu.a.","ACwvu.a.",#N/A,FALSE,FALSE,0.1,2.66,1.35,0,2,"","",TRUE,FALSE,FALSE,TRUE,1,87,#N/A,#N/A,"=R354C1:R476C10",FALSE,FALSE,FALSE,FALSE,FALSE,FALSE,5,300,300,FALSE,FALSE,TRUE,TRUE,TRUE}</definedName>
    <definedName name="Fuel" hidden="1">{TRUE,FALSE,-1.25,-15.5,484.5,293.25,FALSE,TRUE,TRUE,TRUE,0,1,3,329,#N/A,1,21.8823529411765,2,TRUE,FALSE,3,TRUE,1,TRUE,100,"Swvu.a.","ACwvu.a.",#N/A,FALSE,FALSE,0.1,2.66,1.35,0,2,"","",TRUE,FALSE,FALSE,TRUE,1,87,#N/A,#N/A,"=R354C1:R476C10",FALSE,FALSE,FALSE,FALSE,FALSE,FALSE,5,300,300,FALSE,FALSE,TRUE,TRUE,TRUE}</definedName>
    <definedName name="Fuel1" localSheetId="13" hidden="1">{TRUE,FALSE,-1.25,-15.5,484.5,293.25,FALSE,TRUE,TRUE,TRUE,0,1,3,329,#N/A,1,21.8823529411765,2,TRUE,FALSE,3,TRUE,1,TRUE,100,"Swvu.a.","ACwvu.a.",#N/A,FALSE,FALSE,0.1,2.66,1.35,0,2,"","",TRUE,FALSE,FALSE,TRUE,1,87,#N/A,#N/A,"=R354C1:R476C10",FALSE,FALSE,FALSE,FALSE,FALSE,FALSE,5,300,300,FALSE,FALSE,TRUE,TRUE,TRUE}</definedName>
    <definedName name="Fuel1" localSheetId="9" hidden="1">{TRUE,FALSE,-1.25,-15.5,484.5,293.25,FALSE,TRUE,TRUE,TRUE,0,1,3,329,#N/A,1,21.8823529411765,2,TRUE,FALSE,3,TRUE,1,TRUE,100,"Swvu.a.","ACwvu.a.",#N/A,FALSE,FALSE,0.1,2.66,1.35,0,2,"","",TRUE,FALSE,FALSE,TRUE,1,87,#N/A,#N/A,"=R354C1:R476C10",FALSE,FALSE,FALSE,FALSE,FALSE,FALSE,5,300,300,FALSE,FALSE,TRUE,TRUE,TRUE}</definedName>
    <definedName name="Fuel1" hidden="1">{TRUE,FALSE,-1.25,-15.5,484.5,293.25,FALSE,TRUE,TRUE,TRUE,0,1,3,329,#N/A,1,21.8823529411765,2,TRUE,FALSE,3,TRUE,1,TRUE,100,"Swvu.a.","ACwvu.a.",#N/A,FALSE,FALSE,0.1,2.66,1.35,0,2,"","",TRUE,FALSE,FALSE,TRUE,1,87,#N/A,#N/A,"=R354C1:R476C10",FALSE,FALSE,FALSE,FALSE,FALSE,FALSE,5,300,300,FALSE,FALSE,TRUE,TRUE,TRUE}</definedName>
    <definedName name="Full_Print">#REF!</definedName>
    <definedName name="FUNCTIONALCURRENCY1">#REF!</definedName>
    <definedName name="FUNCTIONALCURRENCY2">#REF!</definedName>
    <definedName name="FUNCTIONALCURRENCY3">#REF!</definedName>
    <definedName name="FUNCTIONALCURRENCY4">#REF!</definedName>
    <definedName name="FUNCTIONALCURRENCY5">#REF!</definedName>
    <definedName name="FUNCTIONALCURRENCY6">#REF!</definedName>
    <definedName name="FUNCTIONALCURRENCY7">#REF!</definedName>
    <definedName name="FUND">#REF!</definedName>
    <definedName name="fwef" localSheetId="13">#REF!</definedName>
    <definedName name="fwef">#REF!</definedName>
    <definedName name="FX" localSheetId="13">#REF!</definedName>
    <definedName name="FX">#REF!</definedName>
    <definedName name="FX_Bal_Sheet">#REF!</definedName>
    <definedName name="FX_IC_May">#REF!</definedName>
    <definedName name="FXX">#REF!</definedName>
    <definedName name="FY">2003</definedName>
    <definedName name="FY_1">2003</definedName>
    <definedName name="FYMonths">#REF!</definedName>
    <definedName name="FYOC">#REF!</definedName>
    <definedName name="fzd" localSheetId="13" hidden="1">{#N/A,#N/A,FALSE,"SUMMARY REPORT"}</definedName>
    <definedName name="fzd" localSheetId="9" hidden="1">{#N/A,#N/A,FALSE,"SUMMARY REPORT"}</definedName>
    <definedName name="fzd" hidden="1">{#N/A,#N/A,FALSE,"SUMMARY REPORT"}</definedName>
    <definedName name="F行挿入">#REF!</definedName>
    <definedName name="G" localSheetId="13">#REF!</definedName>
    <definedName name="G" localSheetId="9">#REF!</definedName>
    <definedName name="G">#REF!</definedName>
    <definedName name="G_Dang" localSheetId="13">#REF!</definedName>
    <definedName name="G_Dang">#REF!</definedName>
    <definedName name="ga" localSheetId="13">#REF!</definedName>
    <definedName name="ga">#REF!</definedName>
    <definedName name="GASDFG" localSheetId="13" hidden="1">{#N/A,#N/A,TRUE,"Staffnos &amp; cost"}</definedName>
    <definedName name="GASDFG" localSheetId="9" hidden="1">{#N/A,#N/A,TRUE,"Staffnos &amp; cost"}</definedName>
    <definedName name="GASDFG" hidden="1">{#N/A,#N/A,TRUE,"Staffnos &amp; cost"}</definedName>
    <definedName name="gaurav">#REF!</definedName>
    <definedName name="gb">#REF!</definedName>
    <definedName name="GCI" localSheetId="13">#REF!</definedName>
    <definedName name="GCI">#REF!</definedName>
    <definedName name="gcp" localSheetId="13">#REF!</definedName>
    <definedName name="gcp" localSheetId="9">#REF!</definedName>
    <definedName name="gcp">#REF!</definedName>
    <definedName name="gDataRange" localSheetId="13">#REF!</definedName>
    <definedName name="gDataRange">#REF!</definedName>
    <definedName name="Genesc">#REF!</definedName>
    <definedName name="GENEXP.">#REF!</definedName>
    <definedName name="GENL_FN">#REF!</definedName>
    <definedName name="GENL_TYPE">#REF!</definedName>
    <definedName name="GER">#REF!</definedName>
    <definedName name="Germany">#REF!</definedName>
    <definedName name="GEXP">#REF!</definedName>
    <definedName name="gfhgh" localSheetId="13" hidden="1">{#N/A,#N/A,FALSE,"SUMMARY REPORT"}</definedName>
    <definedName name="gfhgh" localSheetId="9" hidden="1">{#N/A,#N/A,FALSE,"SUMMARY REPORT"}</definedName>
    <definedName name="gfhgh" hidden="1">{#N/A,#N/A,FALSE,"SUMMARY REPORT"}</definedName>
    <definedName name="gfjf">#REF!</definedName>
    <definedName name="gfs"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s"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G" localSheetId="13" hidden="1">{#N/A,#N/A,FALSE,"Aging Summary";#N/A,#N/A,FALSE,"Ratio Analysis";#N/A,#N/A,FALSE,"Test 120 Day Accts";#N/A,#N/A,FALSE,"Tickmarks"}</definedName>
    <definedName name="GG" localSheetId="9" hidden="1">{#N/A,#N/A,FALSE,"Aging Summary";#N/A,#N/A,FALSE,"Ratio Analysis";#N/A,#N/A,FALSE,"Test 120 Day Accts";#N/A,#N/A,FALSE,"Tickmarks"}</definedName>
    <definedName name="GG" hidden="1">{#N/A,#N/A,FALSE,"Aging Summary";#N/A,#N/A,FALSE,"Ratio Analysis";#N/A,#N/A,FALSE,"Test 120 Day Accts";#N/A,#N/A,FALSE,"Tickmarks"}</definedName>
    <definedName name="ggg">#REF!</definedName>
    <definedName name="ghip">#REF!</definedName>
    <definedName name="ghjghjmgh">#REF!</definedName>
    <definedName name="ghjh">#REF!</definedName>
    <definedName name="GHKD"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D"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r" localSheetId="13" hidden="1">{#N/A,#N/A,FALSE,"196126-0690";#N/A,#N/A,FALSE,"196126-0690";#N/A,#N/A,FALSE,"1961165-0201"}</definedName>
    <definedName name="ghr" localSheetId="9" hidden="1">{#N/A,#N/A,FALSE,"196126-0690";#N/A,#N/A,FALSE,"196126-0690";#N/A,#N/A,FALSE,"1961165-0201"}</definedName>
    <definedName name="ghr" hidden="1">{#N/A,#N/A,FALSE,"196126-0690";#N/A,#N/A,FALSE,"196126-0690";#N/A,#N/A,FALSE,"1961165-0201"}</definedName>
    <definedName name="ghui" localSheetId="13" hidden="1">{#N/A,#N/A,FALSE,"SUMMARY REPORT"}</definedName>
    <definedName name="ghui" localSheetId="9" hidden="1">{#N/A,#N/A,FALSE,"SUMMARY REPORT"}</definedName>
    <definedName name="ghui" hidden="1">{#N/A,#N/A,FALSE,"SUMMARY REPORT"}</definedName>
    <definedName name="ghv" localSheetId="13" hidden="1">{#N/A,#N/A,FALSE,"SUMMARY REPORT"}</definedName>
    <definedName name="ghv" localSheetId="9" hidden="1">{#N/A,#N/A,FALSE,"SUMMARY REPORT"}</definedName>
    <definedName name="ghv" hidden="1">{#N/A,#N/A,FALSE,"SUMMARY REPORT"}</definedName>
    <definedName name="gia">#REF!</definedName>
    <definedName name="gia_tien">#REF!</definedName>
    <definedName name="gia_tien_BTN">#REF!</definedName>
    <definedName name="GITA_DANG">#REF!</definedName>
    <definedName name="gkghk">#REF!</definedName>
    <definedName name="gl" localSheetId="13" hidden="1">{#N/A,#N/A,FALSE,"SUMMARY REPORT"}</definedName>
    <definedName name="gl" localSheetId="9" hidden="1">{#N/A,#N/A,FALSE,"SUMMARY REPORT"}</definedName>
    <definedName name="gl" hidden="1">{#N/A,#N/A,FALSE,"SUMMARY REPORT"}</definedName>
    <definedName name="Glycerine__Price__Rs___Unit">#REF!</definedName>
    <definedName name="Glycerine__Volume__Units">#REF!</definedName>
    <definedName name="GoaOffice" localSheetId="13">#REF!</definedName>
    <definedName name="GoaOffice">#REF!</definedName>
    <definedName name="GoBack">#REF!</definedName>
    <definedName name="GP" localSheetId="13">#REF!</definedName>
    <definedName name="GP">#REF!</definedName>
    <definedName name="GPNL" localSheetId="13">#REF!</definedName>
    <definedName name="GPNL">#REF!</definedName>
    <definedName name="Gross" localSheetId="13">#REF!</definedName>
    <definedName name="Gross">#REF!</definedName>
    <definedName name="Grossblock">#REF!</definedName>
    <definedName name="GrossFA">#REF!</definedName>
    <definedName name="GROSSMARGIN">#REF!</definedName>
    <definedName name="group" localSheetId="13">#REF!</definedName>
    <definedName name="group">#REF!</definedName>
    <definedName name="grouping" localSheetId="13">#REF!</definedName>
    <definedName name="grouping">#REF!</definedName>
    <definedName name="Groupings_ESG_EPG" localSheetId="13">#REF!</definedName>
    <definedName name="Groupings_ESG_EPG">#REF!</definedName>
    <definedName name="Groupings_ESG_Socso" localSheetId="13">#REF!</definedName>
    <definedName name="Groupings_ESG_Socso">#REF!</definedName>
    <definedName name="Groupings_ESG_Tax">#REF!</definedName>
    <definedName name="Groupings_PSG_EPF">#REF!</definedName>
    <definedName name="Groupings_PSG_Socso">#REF!</definedName>
    <definedName name="Groupings_PSG_Tax">#REF!</definedName>
    <definedName name="GRP" localSheetId="13">#REF!</definedName>
    <definedName name="GRP">#REF!</definedName>
    <definedName name="gt" localSheetId="13">#REF!</definedName>
    <definedName name="gt">#REF!</definedName>
    <definedName name="GTFixedPrice" localSheetId="13">#REF!</definedName>
    <definedName name="GTFixedPrice">#REF!</definedName>
    <definedName name="gts" localSheetId="13" hidden="1">{#N/A,#N/A,FALSE,"SUMMARY REPORT"}</definedName>
    <definedName name="gts" localSheetId="9" hidden="1">{#N/A,#N/A,FALSE,"SUMMARY REPORT"}</definedName>
    <definedName name="gts" hidden="1">{#N/A,#N/A,FALSE,"SUMMARY REPORT"}</definedName>
    <definedName name="GTScaler">#REF!</definedName>
    <definedName name="GTVariablePrice">#REF!</definedName>
    <definedName name="gty" localSheetId="13" hidden="1">{#N/A,#N/A,FALSE,"SUMMARY REPORT"}</definedName>
    <definedName name="gty" localSheetId="9" hidden="1">{#N/A,#N/A,FALSE,"SUMMARY REPORT"}</definedName>
    <definedName name="gty" hidden="1">{#N/A,#N/A,FALSE,"SUMMARY REPORT"}</definedName>
    <definedName name="gumsealquantity">#REF!</definedName>
    <definedName name="GWEEygera">#REF!</definedName>
    <definedName name="GWYUID1">#REF!</definedName>
    <definedName name="GWYUID2">#REF!</definedName>
    <definedName name="GWYUID3">#REF!</definedName>
    <definedName name="GWYUID4">#REF!</definedName>
    <definedName name="GWYUID5">#REF!</definedName>
    <definedName name="GWYUID6">#REF!</definedName>
    <definedName name="GWYUID7">#REF!</definedName>
    <definedName name="gxichange">#REF!</definedName>
    <definedName name="gyi" localSheetId="13" hidden="1">{#N/A,#N/A,FALSE,"SUMMARY REPORT"}</definedName>
    <definedName name="gyi" localSheetId="9" hidden="1">{#N/A,#N/A,FALSE,"SUMMARY REPORT"}</definedName>
    <definedName name="gyi" hidden="1">{#N/A,#N/A,FALSE,"SUMMARY REPORT"}</definedName>
    <definedName name="H" localSheetId="13">#REF!</definedName>
    <definedName name="H" localSheetId="9">#REF!</definedName>
    <definedName name="H">#REF!</definedName>
    <definedName name="h821." localSheetId="13">#REF!</definedName>
    <definedName name="h821.">#REF!</definedName>
    <definedName name="ha" localSheetId="13">#REF!</definedName>
    <definedName name="ha">#REF!</definedName>
    <definedName name="hardyg" localSheetId="13">#REF!</definedName>
    <definedName name="hardyg">#REF!</definedName>
    <definedName name="HARISH" localSheetId="13" hidden="1">{#N/A,#N/A,FALSE,"SUMMARY REPORT"}</definedName>
    <definedName name="HARISH" localSheetId="9" hidden="1">{#N/A,#N/A,FALSE,"SUMMARY REPORT"}</definedName>
    <definedName name="HARISH" hidden="1">{#N/A,#N/A,FALSE,"SUMMARY REPORT"}</definedName>
    <definedName name="hav" localSheetId="13" hidden="1">{#N/A,#N/A,FALSE,"196126-0690";#N/A,#N/A,FALSE,"196126-0690";#N/A,#N/A,FALSE,"1961165-0201"}</definedName>
    <definedName name="hav" localSheetId="9" hidden="1">{#N/A,#N/A,FALSE,"196126-0690";#N/A,#N/A,FALSE,"196126-0690";#N/A,#N/A,FALSE,"1961165-0201"}</definedName>
    <definedName name="hav" hidden="1">{#N/A,#N/A,FALSE,"196126-0690";#N/A,#N/A,FALSE,"196126-0690";#N/A,#N/A,FALSE,"1961165-0201"}</definedName>
    <definedName name="havop">#REF!</definedName>
    <definedName name="hb">#REF!</definedName>
    <definedName name="HCV">#REF!</definedName>
    <definedName name="HCV.WEEKLY" localSheetId="13" hidden="1">{#N/A,#N/A,FALSE,"SUMMARY REPORT"}</definedName>
    <definedName name="HCV.WEEKLY" localSheetId="9" hidden="1">{#N/A,#N/A,FALSE,"SUMMARY REPORT"}</definedName>
    <definedName name="HCV.WEEKLY" hidden="1">{#N/A,#N/A,FALSE,"SUMMARY REPORT"}</definedName>
    <definedName name="ＨＥ">#REF!</definedName>
    <definedName name="HEAD" localSheetId="13">#REF!</definedName>
    <definedName name="HEAD">#REF!</definedName>
    <definedName name="HEAD2" localSheetId="13">#REF!</definedName>
    <definedName name="HEAD2">#REF!</definedName>
    <definedName name="Header" localSheetId="13">#REF!</definedName>
    <definedName name="Header">#REF!</definedName>
    <definedName name="Header_Row">ROW(#REF!)</definedName>
    <definedName name="headquarters">#REF!</definedName>
    <definedName name="HEIDT">#N/A</definedName>
    <definedName name="Height">10</definedName>
    <definedName name="Hemant">#REF!</definedName>
    <definedName name="Hemas" localSheetId="13" hidden="1">{"'August 2000'!$A$1:$J$101"}</definedName>
    <definedName name="Hemas" localSheetId="9" hidden="1">{"'August 2000'!$A$1:$J$101"}</definedName>
    <definedName name="Hemas" hidden="1">{"'August 2000'!$A$1:$J$101"}</definedName>
    <definedName name="HF">#REF!</definedName>
    <definedName name="hfuiefvj" localSheetId="13" hidden="1">{#N/A,#N/A,FALSE,"SUMMARY REPORT"}</definedName>
    <definedName name="hfuiefvj" localSheetId="9" hidden="1">{#N/A,#N/A,FALSE,"SUMMARY REPORT"}</definedName>
    <definedName name="hfuiefvj" hidden="1">{#N/A,#N/A,FALSE,"SUMMARY REPORT"}</definedName>
    <definedName name="hgsfdgd" localSheetId="13" hidden="1">{"WCD",#N/A,FALSE,"WCD Qtr ";"GPS",#N/A,FALSE,"GPS Qtr";"OTHER",#N/A,FALSE,"OTHER";"DCT",#N/A,FALSE,"DCT Qtr ";"GSM",#N/A,FALSE,"GSM Qtr ";"PHS",#N/A,FALSE,"PHS  Qtr";"COMPONENTS",#N/A,FALSE,"Comp Qtr  "}</definedName>
    <definedName name="hgsfdgd" localSheetId="9" hidden="1">{"WCD",#N/A,FALSE,"WCD Qtr ";"GPS",#N/A,FALSE,"GPS Qtr";"OTHER",#N/A,FALSE,"OTHER";"DCT",#N/A,FALSE,"DCT Qtr ";"GSM",#N/A,FALSE,"GSM Qtr ";"PHS",#N/A,FALSE,"PHS  Qtr";"COMPONENTS",#N/A,FALSE,"Comp Qtr  "}</definedName>
    <definedName name="hgsfdgd" hidden="1">{"WCD",#N/A,FALSE,"WCD Qtr ";"GPS",#N/A,FALSE,"GPS Qtr";"OTHER",#N/A,FALSE,"OTHER";"DCT",#N/A,FALSE,"DCT Qtr ";"GSM",#N/A,FALSE,"GSM Qtr ";"PHS",#N/A,FALSE,"PHS  Qtr";"COMPONENTS",#N/A,FALSE,"Comp Qtr  "}</definedName>
    <definedName name="HH">#REF!</definedName>
    <definedName name="hha" localSheetId="13">#REF!</definedName>
    <definedName name="hha">#REF!</definedName>
    <definedName name="HHcat" localSheetId="13">#REF!</definedName>
    <definedName name="HHcat">#REF!</definedName>
    <definedName name="HHda" localSheetId="13">#REF!</definedName>
    <definedName name="HHda">#REF!</definedName>
    <definedName name="HHL">#REF!</definedName>
    <definedName name="HHxm">#REF!</definedName>
    <definedName name="HI">#REF!</definedName>
    <definedName name="HiddenRows" localSheetId="9" hidden="1">#REF!</definedName>
    <definedName name="HiddenRows" hidden="1">#REF!</definedName>
    <definedName name="hien">#REF!</definedName>
    <definedName name="hiiiiiiiii">#REF!</definedName>
    <definedName name="HINSHU">#N/A</definedName>
    <definedName name="Hire">27</definedName>
    <definedName name="HistForc">#REF!</definedName>
    <definedName name="hjkfh_control" localSheetId="13" hidden="1">{"'August 2000'!$A$1:$J$101"}</definedName>
    <definedName name="hjkfh_control" localSheetId="9" hidden="1">{"'August 2000'!$A$1:$J$101"}</definedName>
    <definedName name="hjkfh_control" hidden="1">{"'August 2000'!$A$1:$J$101"}</definedName>
    <definedName name="hjkhk">#REF!</definedName>
    <definedName name="hjmhjm">#REF!</definedName>
    <definedName name="hkhk">#REF!</definedName>
    <definedName name="HLR_Ericsson">#REF!</definedName>
    <definedName name="HM_HAND" localSheetId="9">#REF!</definedName>
    <definedName name="HM_HAND">#REF!</definedName>
    <definedName name="hnm" localSheetId="13" hidden="1">{#N/A,#N/A,FALSE,"SUMMARY REPORT"}</definedName>
    <definedName name="hnm" localSheetId="9" hidden="1">{#N/A,#N/A,FALSE,"SUMMARY REPORT"}</definedName>
    <definedName name="hnm" hidden="1">{#N/A,#N/A,FALSE,"SUMMARY REPORT"}</definedName>
    <definedName name="hoc">55000</definedName>
    <definedName name="Holland">#REF!</definedName>
    <definedName name="holp" localSheetId="13" hidden="1">{#N/A,#N/A,FALSE,"SUMMARY REPORT"}</definedName>
    <definedName name="holp" localSheetId="9" hidden="1">{#N/A,#N/A,FALSE,"SUMMARY REPORT"}</definedName>
    <definedName name="holp" hidden="1">{#N/A,#N/A,FALSE,"SUMMARY REPORT"}</definedName>
    <definedName name="HOME_MANP">#REF!</definedName>
    <definedName name="HomeecoConsumerser">#REF!</definedName>
    <definedName name="HOMEOFFICE_COST">#REF!</definedName>
    <definedName name="HP">#REF!</definedName>
    <definedName name="hr">#REF!</definedName>
    <definedName name="hra" localSheetId="13">#REF!</definedName>
    <definedName name="hra">#REF!</definedName>
    <definedName name="HRD">#REF!</definedName>
    <definedName name="HRSGFlow" localSheetId="13">#REF!</definedName>
    <definedName name="HRSGFlow">#REF!</definedName>
    <definedName name="HRTHREE">#REF!</definedName>
    <definedName name="HRTWO">#REF!</definedName>
    <definedName name="hßm4" localSheetId="13">#REF!</definedName>
    <definedName name="hßm4">#REF!</definedName>
    <definedName name="HTML_CodePage" hidden="1">1252</definedName>
    <definedName name="HTML_Control" localSheetId="13" hidden="1">{"'PS-SOTM'!$A$1","'PS-SOTM'!$A$2:$M$30","'PS-SOTM'!$A$31:$A$38"}</definedName>
    <definedName name="HTML_Control" localSheetId="9" hidden="1">{"'PS-SOTM'!$A$1","'PS-SOTM'!$A$2:$M$30","'PS-SOTM'!$A$31:$A$38"}</definedName>
    <definedName name="HTML_Control" hidden="1">{"'PS-SOTM'!$A$1","'PS-SOTM'!$A$2:$M$30","'PS-SOTM'!$A$31:$A$38"}</definedName>
    <definedName name="HTML_Control_1" localSheetId="13" hidden="1">{"'PS-SOTM'!$A$1","'PS-SOTM'!$A$2:$M$30","'PS-SOTM'!$A$31:$A$38"}</definedName>
    <definedName name="HTML_Control_1" localSheetId="9" hidden="1">{"'PS-SOTM'!$A$1","'PS-SOTM'!$A$2:$M$30","'PS-SOTM'!$A$31:$A$38"}</definedName>
    <definedName name="HTML_Control_1" hidden="1">{"'PS-SOTM'!$A$1","'PS-SOTM'!$A$2:$M$30","'PS-SOTM'!$A$31:$A$38"}</definedName>
    <definedName name="HTML_Description" hidden="1">""</definedName>
    <definedName name="HTML_Email" hidden="1">""</definedName>
    <definedName name="HTML_Header" hidden="1">"Sheet1"</definedName>
    <definedName name="HTML_LastUpdate" hidden="1">"98/09/23"</definedName>
    <definedName name="HTML_LineAfter" hidden="1">FALSE</definedName>
    <definedName name="HTML_LineBefore" hidden="1">FALSE</definedName>
    <definedName name="HTML_Name" hidden="1">"森山  功一"</definedName>
    <definedName name="HTML_OBDlg2" hidden="1">FALSE</definedName>
    <definedName name="HTML_OBDlg3" hidden="1">TRUE</definedName>
    <definedName name="HTML_OBDlg4" hidden="1">TRUE</definedName>
    <definedName name="HTML_OS" hidden="1">0</definedName>
    <definedName name="HTML_PathFile" hidden="1">"C:\infac\pricewth\Aug99\Page06e.htm"</definedName>
    <definedName name="HTML_PathTemplate" hidden="1">"C:\infac\pricewth\Aug99\Page06e.htm"</definedName>
    <definedName name="HTML_Title" hidden="1">"PHCONT99M"</definedName>
    <definedName name="HTML1_1" hidden="1">"[HS_PS管理工程図.xls]ＦＭＥＡ原紙!$E$15:$F$17"</definedName>
    <definedName name="HTML1_10" hidden="1">""</definedName>
    <definedName name="HTML1_11" hidden="1">1</definedName>
    <definedName name="HTML1_12" hidden="1">"C:\My Documents\MyHTML.htm"</definedName>
    <definedName name="HTML1_2" hidden="1">1</definedName>
    <definedName name="HTML1_3" hidden="1">"HS_PS管理工程図.xls"</definedName>
    <definedName name="HTML1_4" hidden="1">"ＦＭＥＡ原紙"</definedName>
    <definedName name="HTML1_5" hidden="1">""</definedName>
    <definedName name="HTML1_6" hidden="1">-4146</definedName>
    <definedName name="HTML1_7" hidden="1">-4146</definedName>
    <definedName name="HTML1_8" hidden="1">"97/04/07"</definedName>
    <definedName name="HTML1_9" hidden="1">"佐々木圭"</definedName>
    <definedName name="HTML2_1" hidden="1">"[HS_PS管理工程図.xls]ＦＭＥＡ原紙!$G$14:$L$19"</definedName>
    <definedName name="HTML2_11" hidden="1">1</definedName>
    <definedName name="HTML2_12" hidden="1">"C:\WINDOWS\ﾃﾞｽｸﾄｯﾌﾟ\FFF.htm"</definedName>
    <definedName name="HTML2_2" hidden="1">-4146</definedName>
    <definedName name="HTML2_3" hidden="1">"C:\WINDOWS\ﾃﾞｽｸﾄｯﾌﾟ\ffz.htm"</definedName>
    <definedName name="HTMLCount" hidden="1">2</definedName>
    <definedName name="hum">#REF!</definedName>
    <definedName name="HUMANRES">#REF!</definedName>
    <definedName name="HUNT">#N/A</definedName>
    <definedName name="huy" localSheetId="13" hidden="1">{"'Sheet1'!$L$16"}</definedName>
    <definedName name="huy" localSheetId="9" hidden="1">{"'Sheet1'!$L$16"}</definedName>
    <definedName name="huy" hidden="1">{"'Sheet1'!$L$16"}</definedName>
    <definedName name="hyasu">#REF!</definedName>
    <definedName name="HYUNDAI" localSheetId="13">#REF!</definedName>
    <definedName name="HYUNDAI">#REF!</definedName>
    <definedName name="I" localSheetId="13">#REF!</definedName>
    <definedName name="I" localSheetId="9">#REF!</definedName>
    <definedName name="I">#REF!</definedName>
    <definedName name="iarea1">#REF!,#REF!,#REF!,#REF!,#REF!,#REF!,#REF!,#REF!,#REF!,#REF!,#REF!,#REF!,#REF!,#REF!,#REF!,#REF!,#REF!,#REF!,#REF!</definedName>
    <definedName name="iarea2">#REF!,#REF!,#REF!,#REF!</definedName>
    <definedName name="iarea3">#REF!,#REF!,#REF!,#REF!,#REF!,#REF!,#REF!,#REF!</definedName>
    <definedName name="ICEUR" localSheetId="13">#REF!</definedName>
    <definedName name="ICEUR">#REF!</definedName>
    <definedName name="ICEURUSD" localSheetId="13">#REF!</definedName>
    <definedName name="ICEURUSD">#REF!</definedName>
    <definedName name="ID">#REF!</definedName>
    <definedName name="IDC">#REF!</definedName>
    <definedName name="IDLAB_COST" localSheetId="13">#REF!</definedName>
    <definedName name="IDLAB_COST">#REF!</definedName>
    <definedName name="IE05EMA.IE05EMA">#REF!</definedName>
    <definedName name="II_control" localSheetId="13" hidden="1">{"'August 2000'!$A$1:$J$101"}</definedName>
    <definedName name="II_control" localSheetId="9" hidden="1">{"'August 2000'!$A$1:$J$101"}</definedName>
    <definedName name="II_control" hidden="1">{"'August 2000'!$A$1:$J$101"}</definedName>
    <definedName name="III_control" localSheetId="13" hidden="1">{"'August 2000'!$A$1:$J$101"}</definedName>
    <definedName name="III_control" localSheetId="9" hidden="1">{"'August 2000'!$A$1:$J$101"}</definedName>
    <definedName name="III_control" hidden="1">{"'August 2000'!$A$1:$J$101"}</definedName>
    <definedName name="iiii">#REF!</definedName>
    <definedName name="ijn" localSheetId="13" hidden="1">{#N/A,#N/A,FALSE,"SUMMARY REPORT"}</definedName>
    <definedName name="ijn" localSheetId="9" hidden="1">{#N/A,#N/A,FALSE,"SUMMARY REPORT"}</definedName>
    <definedName name="ijn" hidden="1">{#N/A,#N/A,FALSE,"SUMMARY REPORT"}</definedName>
    <definedName name="Im_control" localSheetId="13" hidden="1">{"'August 2000'!$A$1:$J$101"}</definedName>
    <definedName name="Im_control" localSheetId="9" hidden="1">{"'August 2000'!$A$1:$J$101"}</definedName>
    <definedName name="Im_control" hidden="1">{"'August 2000'!$A$1:$J$101"}</definedName>
    <definedName name="IMFPID">#REF!</definedName>
    <definedName name="impact">#REF!</definedName>
    <definedName name="impactsales">#REF!</definedName>
    <definedName name="IMPORTDFF1" localSheetId="13">#REF!</definedName>
    <definedName name="IMPORTDFF1">#REF!</definedName>
    <definedName name="IMPORTDFF2" localSheetId="13">#REF!</definedName>
    <definedName name="IMPORTDFF2">#REF!</definedName>
    <definedName name="IMPORTDFF3" localSheetId="13">#REF!</definedName>
    <definedName name="IMPORTDFF3">#REF!</definedName>
    <definedName name="IMPORTDFF4">#REF!</definedName>
    <definedName name="IMPORTDFF5">#REF!</definedName>
    <definedName name="IMPORTDFF6">#REF!</definedName>
    <definedName name="IMPORTDFF7">#REF!</definedName>
    <definedName name="in">#REF!</definedName>
    <definedName name="inc">#REF!</definedName>
    <definedName name="incalls">#REF!</definedName>
    <definedName name="income">#REF!</definedName>
    <definedName name="income97">#REF!</definedName>
    <definedName name="INDEX1">#REF!</definedName>
    <definedName name="India">#REF!</definedName>
    <definedName name="INDMANP" localSheetId="13">#REF!</definedName>
    <definedName name="INDMANP">#REF!</definedName>
    <definedName name="Informser" localSheetId="13">#REF!</definedName>
    <definedName name="Informser">#REF!</definedName>
    <definedName name="Input" localSheetId="13">#REF!</definedName>
    <definedName name="Input">#REF!</definedName>
    <definedName name="Input_Rf">#REF!</definedName>
    <definedName name="Inputs">#REF!</definedName>
    <definedName name="INS">#REF!</definedName>
    <definedName name="insales">#REF!</definedName>
    <definedName name="InstDrinks" localSheetId="13">#REF!</definedName>
    <definedName name="InstDrinks">#REF!</definedName>
    <definedName name="INSTRU" localSheetId="13">#REF!</definedName>
    <definedName name="INSTRU" localSheetId="9">#REF!</definedName>
    <definedName name="INSTRU">#REF!</definedName>
    <definedName name="INSTRUCT" localSheetId="13">#REF!</definedName>
    <definedName name="INSTRUCT">#REF!</definedName>
    <definedName name="int" localSheetId="13">#REF!</definedName>
    <definedName name="int">#REF!</definedName>
    <definedName name="intc" localSheetId="13">#REF!</definedName>
    <definedName name="intc">#REF!</definedName>
    <definedName name="Interaudit" localSheetId="13">#REF!</definedName>
    <definedName name="Interaudit">#REF!</definedName>
    <definedName name="interest" localSheetId="13">#REF!</definedName>
    <definedName name="interest">#REF!</definedName>
    <definedName name="INTEREST_AS_PER_G.L.__JAN_TO_DEC__98" localSheetId="13">#REF!</definedName>
    <definedName name="INTEREST_AS_PER_G.L.__JAN_TO_DEC__98">#REF!</definedName>
    <definedName name="INTEREST_AS_PER_G.L.__JAN_TO_SEP__98">#REF!</definedName>
    <definedName name="Interest_Rate">#REF!</definedName>
    <definedName name="interest1" localSheetId="13" hidden="1">{#N/A,#N/A,FALSE,"SUMMARY REPORT"}</definedName>
    <definedName name="interest1" localSheetId="9" hidden="1">{#N/A,#N/A,FALSE,"SUMMARY REPORT"}</definedName>
    <definedName name="interest1" hidden="1">{#N/A,#N/A,FALSE,"SUMMARY REPORT"}</definedName>
    <definedName name="Internal_Package">#REF!</definedName>
    <definedName name="Internal_Pkg_Other">#REF!</definedName>
    <definedName name="intr">#REF!</definedName>
    <definedName name="INTT_EXP" localSheetId="13">#REF!</definedName>
    <definedName name="INTT_EXP">#REF!</definedName>
    <definedName name="intu">#REF!</definedName>
    <definedName name="INV" localSheetId="13">#REF!</definedName>
    <definedName name="INV">#REF!</definedName>
    <definedName name="inven">#REF!</definedName>
    <definedName name="INVENTORY">#REF!</definedName>
    <definedName name="Inverece">#REF!</definedName>
    <definedName name="Investor_Return">#REF!</definedName>
    <definedName name="INVSTMNT">#REF!</definedName>
    <definedName name="ioh" localSheetId="13" hidden="1">{#N/A,#N/A,FALSE,"SUMMARY REPORT"}</definedName>
    <definedName name="ioh" localSheetId="9" hidden="1">{#N/A,#N/A,FALSE,"SUMMARY REPORT"}</definedName>
    <definedName name="ioh" hidden="1">{#N/A,#N/A,FALSE,"SUMMARY REPORT"}</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41631.5411689815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eland">#REF!</definedName>
    <definedName name="ISblnHideRow">#N/A</definedName>
    <definedName name="ISHistForc">#REF!</definedName>
    <definedName name="it">#REF!</definedName>
    <definedName name="Italia">#REF!</definedName>
    <definedName name="italy">#REF!</definedName>
    <definedName name="ITEM_MASTER_WITH_COST_032101_Query" localSheetId="13">#REF!</definedName>
    <definedName name="ITEM_MASTER_WITH_COST_032101_Query">#REF!</definedName>
    <definedName name="iuw5i" localSheetId="13">#REF!</definedName>
    <definedName name="iuw5i">#REF!</definedName>
    <definedName name="iuy" localSheetId="13" hidden="1">{#N/A,#N/A,FALSE,"SUMMARY REPORT"}</definedName>
    <definedName name="iuy" localSheetId="9" hidden="1">{#N/A,#N/A,FALSE,"SUMMARY REPORT"}</definedName>
    <definedName name="iuy" hidden="1">{#N/A,#N/A,FALSE,"SUMMARY REPORT"}</definedName>
    <definedName name="iwr">#REF!</definedName>
    <definedName name="J" localSheetId="13">#REF!</definedName>
    <definedName name="J" localSheetId="9">#REF!</definedName>
    <definedName name="J">#REF!</definedName>
    <definedName name="J_Fernandes" localSheetId="13">#REF!</definedName>
    <definedName name="J_Fernandes">#REF!</definedName>
    <definedName name="ja" localSheetId="13">#REF!</definedName>
    <definedName name="ja">#REF!</definedName>
    <definedName name="Jai" localSheetId="13" hidden="1">{"'August 2000'!$A$1:$J$101"}</definedName>
    <definedName name="Jai" localSheetId="9" hidden="1">{"'August 2000'!$A$1:$J$101"}</definedName>
    <definedName name="Jai" hidden="1">{"'August 2000'!$A$1:$J$101"}</definedName>
    <definedName name="JAN">#N/A</definedName>
    <definedName name="JANDATA?">#REF!</definedName>
    <definedName name="JAZZV">#REF!</definedName>
    <definedName name="jb" localSheetId="13">#REF!</definedName>
    <definedName name="jb">#REF!</definedName>
    <definedName name="jfjfj_control" localSheetId="13" hidden="1">{"'August 2000'!$A$1:$J$101"}</definedName>
    <definedName name="jfjfj_control" localSheetId="9" hidden="1">{"'August 2000'!$A$1:$J$101"}</definedName>
    <definedName name="jfjfj_control" hidden="1">{"'August 2000'!$A$1:$J$101"}</definedName>
    <definedName name="jhdjhd" localSheetId="13" hidden="1">{"Bsheet",#N/A,FALSE,"Details";"P&amp;l",#N/A,FALSE,"Details";"Schedule",#N/A,FALSE,"Details";"Details",#N/A,FALSE,"Details";"Annexue II",#N/A,FALSE,"Details";"Branch Bs",#N/A,FALSE,"Details";"Branch PL",#N/A,FALSE,"Details"}</definedName>
    <definedName name="jhdjhd" localSheetId="9" hidden="1">{"Bsheet",#N/A,FALSE,"Details";"P&amp;l",#N/A,FALSE,"Details";"Schedule",#N/A,FALSE,"Details";"Details",#N/A,FALSE,"Details";"Annexue II",#N/A,FALSE,"Details";"Branch Bs",#N/A,FALSE,"Details";"Branch PL",#N/A,FALSE,"Details"}</definedName>
    <definedName name="jhdjhd" hidden="1">{"Bsheet",#N/A,FALSE,"Details";"P&amp;l",#N/A,FALSE,"Details";"Schedule",#N/A,FALSE,"Details";"Details",#N/A,FALSE,"Details";"Annexue II",#N/A,FALSE,"Details";"Branch Bs",#N/A,FALSE,"Details";"Branch PL",#N/A,FALSE,"Details"}</definedName>
    <definedName name="jhnhgg" localSheetId="13" hidden="1">{#N/A,#N/A,FALSE,"Aging Summary";#N/A,#N/A,FALSE,"Ratio Analysis";#N/A,#N/A,FALSE,"Test 120 Day Accts";#N/A,#N/A,FALSE,"Tickmarks"}</definedName>
    <definedName name="jhnhgg" localSheetId="9" hidden="1">{#N/A,#N/A,FALSE,"Aging Summary";#N/A,#N/A,FALSE,"Ratio Analysis";#N/A,#N/A,FALSE,"Test 120 Day Accts";#N/A,#N/A,FALSE,"Tickmarks"}</definedName>
    <definedName name="jhnhgg" hidden="1">{#N/A,#N/A,FALSE,"Aging Summary";#N/A,#N/A,FALSE,"Ratio Analysis";#N/A,#N/A,FALSE,"Test 120 Day Accts";#N/A,#N/A,FALSE,"Tickmarks"}</definedName>
    <definedName name="jil" localSheetId="13" hidden="1">{#N/A,#N/A,FALSE,"SUMMARY REPORT"}</definedName>
    <definedName name="jil" localSheetId="9" hidden="1">{#N/A,#N/A,FALSE,"SUMMARY REPORT"}</definedName>
    <definedName name="jil" hidden="1">{#N/A,#N/A,FALSE,"SUMMARY REPORT"}</definedName>
    <definedName name="jiohif" localSheetId="13" hidden="1">{#N/A,#N/A,FALSE,"SUMMARY REPORT"}</definedName>
    <definedName name="jiohif" localSheetId="9" hidden="1">{#N/A,#N/A,FALSE,"SUMMARY REPORT"}</definedName>
    <definedName name="jiohif" hidden="1">{#N/A,#N/A,FALSE,"SUMMARY REPORT"}</definedName>
    <definedName name="jj">#REF!</definedName>
    <definedName name="JJ_control" localSheetId="13" hidden="1">{"'August 2000'!$A$1:$J$101"}</definedName>
    <definedName name="JJ_control" localSheetId="9" hidden="1">{"'August 2000'!$A$1:$J$101"}</definedName>
    <definedName name="JJ_control" hidden="1">{"'August 2000'!$A$1:$J$101"}</definedName>
    <definedName name="jjjj" localSheetId="13" hidden="1">{#N/A,#N/A,FALSE,"Staffnos &amp; cost"}</definedName>
    <definedName name="jjjj" localSheetId="9" hidden="1">{#N/A,#N/A,FALSE,"Staffnos &amp; cost"}</definedName>
    <definedName name="jjjj" hidden="1">{#N/A,#N/A,FALSE,"Staffnos &amp; cost"}</definedName>
    <definedName name="jjk">#REF!</definedName>
    <definedName name="jkkljkjkjk" localSheetId="13" hidden="1">{"DJH3",#N/A,FALSE,"PFL00805";"PJB3",#N/A,FALSE,"PFL00805";"JMD3",#N/A,FALSE,"PFL00805";"DNB3",#N/A,FALSE,"PFL00805";"MJP3",#N/A,FALSE,"PFL00805";"RAB3",#N/A,FALSE,"PFL00805";"GJW3",#N/A,FALSE,"PFL00805";"MASTER3",#N/A,FALSE,"PFL00805"}</definedName>
    <definedName name="jkkljkjkjk" localSheetId="9"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lp" localSheetId="13" hidden="1">{#N/A,#N/A,FALSE,"SUMMARY REPORT"}</definedName>
    <definedName name="jlp" localSheetId="9" hidden="1">{#N/A,#N/A,FALSE,"SUMMARY REPORT"}</definedName>
    <definedName name="jlp" hidden="1">{#N/A,#N/A,FALSE,"SUMMARY REPORT"}</definedName>
    <definedName name="JOYLYN_FERNANDE">#REF!</definedName>
    <definedName name="jp">#REF!</definedName>
    <definedName name="JRHOLMES" localSheetId="13">#REF!</definedName>
    <definedName name="JRHOLMES">#REF!</definedName>
    <definedName name="jsd" localSheetId="13" hidden="1">{#N/A,#N/A,FALSE,"SUMMARY REPORT"}</definedName>
    <definedName name="jsd" localSheetId="9" hidden="1">{#N/A,#N/A,FALSE,"SUMMARY REPORT"}</definedName>
    <definedName name="jsd" hidden="1">{#N/A,#N/A,FALSE,"SUMMARY REPORT"}</definedName>
    <definedName name="juil" localSheetId="13" hidden="1">{#N/A,#N/A,FALSE,"SUMMARY REPORT"}</definedName>
    <definedName name="juil" localSheetId="9" hidden="1">{#N/A,#N/A,FALSE,"SUMMARY REPORT"}</definedName>
    <definedName name="juil" hidden="1">{#N/A,#N/A,FALSE,"SUMMARY REPORT"}</definedName>
    <definedName name="JULDATA?">#REF!</definedName>
    <definedName name="JULY">#REF!</definedName>
    <definedName name="JUNDATA?">#REF!</definedName>
    <definedName name="JUNE">#REF!</definedName>
    <definedName name="June_1998_closing">#REF!</definedName>
    <definedName name="juy" localSheetId="9" hidden="1">#REF!</definedName>
    <definedName name="juy" hidden="1">#REF!</definedName>
    <definedName name="K" localSheetId="9">#REF!</definedName>
    <definedName name="K">#REF!</definedName>
    <definedName name="K2_WBEVMODE" hidden="1">-1</definedName>
    <definedName name="ka">#REF!</definedName>
    <definedName name="KADOJIKAN" localSheetId="13">#REF!</definedName>
    <definedName name="KADOJIKAN">#REF!</definedName>
    <definedName name="KADORITU" localSheetId="13">#REF!</definedName>
    <definedName name="KADORITU">#REF!</definedName>
    <definedName name="kami" localSheetId="13" hidden="1">#REF!</definedName>
    <definedName name="kami" hidden="1">#REF!</definedName>
    <definedName name="kaori">#REF!</definedName>
    <definedName name="KAREN_ALI">#REF!</definedName>
    <definedName name="KAREN_JANE">#REF!</definedName>
    <definedName name="kazuyo">#REF!</definedName>
    <definedName name="kb">#REF!</definedName>
    <definedName name="kcong" localSheetId="13">#REF!</definedName>
    <definedName name="kcong">#REF!</definedName>
    <definedName name="kdkdkdk" localSheetId="13" hidden="1">{"DJH3",#N/A,FALSE,"PFL00805";"PJB3",#N/A,FALSE,"PFL00805";"JMD3",#N/A,FALSE,"PFL00805";"DNB3",#N/A,FALSE,"PFL00805";"MJP3",#N/A,FALSE,"PFL00805";"RAB3",#N/A,FALSE,"PFL00805";"GJW3",#N/A,FALSE,"PFL00805";"MASTER3",#N/A,FALSE,"PFL00805"}</definedName>
    <definedName name="kdkdkdk" localSheetId="9"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ttex">#REF!</definedName>
    <definedName name="kettex98">#REF!</definedName>
    <definedName name="key" localSheetId="9" hidden="1">#REF!</definedName>
    <definedName name="key" hidden="1">#REF!</definedName>
    <definedName name="khac">2</definedName>
    <definedName name="kick">#REF!</definedName>
    <definedName name="Kiem_tra_trung_ten">#REF!</definedName>
    <definedName name="KJH">#REF!</definedName>
    <definedName name="KK"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O02CWA.KO02CWA">#REF!</definedName>
    <definedName name="KO08AM1A.KO08AM1A">#REF!</definedName>
    <definedName name="KO08AME.KO08AME">#REF!</definedName>
    <definedName name="KOLkata_Office">#REF!</definedName>
    <definedName name="komal" localSheetId="13">#REF!</definedName>
    <definedName name="komal">#REF!</definedName>
    <definedName name="Korea_Telecom">#REF!</definedName>
    <definedName name="kp">#REF!</definedName>
    <definedName name="Kraft" localSheetId="13" hidden="1">{#N/A,#N/A,FALSE,"changes";#N/A,#N/A,FALSE,"Assumptions";"view1",#N/A,FALSE,"BE Analysis";"view2",#N/A,FALSE,"BE Analysis";#N/A,#N/A,FALSE,"DCF Calculation - Scenario 1";"Dollar",#N/A,FALSE,"Consolidated - Scenario 1";"CS",#N/A,FALSE,"Consolidated - Scenario 1"}</definedName>
    <definedName name="Kraft" localSheetId="9" hidden="1">{#N/A,#N/A,FALSE,"changes";#N/A,#N/A,FALSE,"Assumptions";"view1",#N/A,FALSE,"BE Analysis";"view2",#N/A,FALSE,"BE Analysis";#N/A,#N/A,FALSE,"DCF Calculation - Scenario 1";"Dollar",#N/A,FALSE,"Consolidated - Scenario 1";"CS",#N/A,FALSE,"Consolidated - Scenario 1"}</definedName>
    <definedName name="Kraft" hidden="1">{#N/A,#N/A,FALSE,"changes";#N/A,#N/A,FALSE,"Assumptions";"view1",#N/A,FALSE,"BE Analysis";"view2",#N/A,FALSE,"BE Analysis";#N/A,#N/A,FALSE,"DCF Calculation - Scenario 1";"Dollar",#N/A,FALSE,"Consolidated - Scenario 1";"CS",#N/A,FALSE,"Consolidated - Scenario 1"}</definedName>
    <definedName name="KUBE">#REF!</definedName>
    <definedName name="KV_AC">#REF!</definedName>
    <definedName name="L" localSheetId="13">#REF!</definedName>
    <definedName name="L" localSheetId="9">#REF!</definedName>
    <definedName name="L">#REF!</definedName>
    <definedName name="L_A">#REF!</definedName>
    <definedName name="L_Adjust">#REF!</definedName>
    <definedName name="L_AJE_Tot">#REF!</definedName>
    <definedName name="L_CY_Beg">#REF!</definedName>
    <definedName name="L_CY_End" localSheetId="13">#REF!</definedName>
    <definedName name="L_CY_End">#REF!</definedName>
    <definedName name="L_PY_End" localSheetId="13">#REF!</definedName>
    <definedName name="L_PY_End">#REF!</definedName>
    <definedName name="L_RJE_Tot" localSheetId="13">#REF!</definedName>
    <definedName name="L_RJE_Tot">#REF!</definedName>
    <definedName name="L_TCost">#REF!</definedName>
    <definedName name="L1_">#REF!</definedName>
    <definedName name="LABELTEXTCOLUMN1">#REF!</definedName>
    <definedName name="LABELTEXTCOLUMN2">#REF!</definedName>
    <definedName name="LABELTEXTCOLUMN3">#REF!</definedName>
    <definedName name="LABELTEXTCOLUMN4">#REF!</definedName>
    <definedName name="LABELTEXTCOLUMN5">#REF!</definedName>
    <definedName name="LABELTEXTCOLUMN6">#REF!</definedName>
    <definedName name="LABELTEXTCOLUMN7">#REF!</definedName>
    <definedName name="LABELTEXTROW1">#REF!</definedName>
    <definedName name="LABELTEXTROW2">#REF!</definedName>
    <definedName name="LABELTEXTROW3">#REF!</definedName>
    <definedName name="LABELTEXTROW4">#REF!</definedName>
    <definedName name="LABELTEXTROW5">#REF!</definedName>
    <definedName name="LABELTEXTROW6">#REF!</definedName>
    <definedName name="LABELTEXTROW7">#REF!</definedName>
    <definedName name="LABOR3">#REF!</definedName>
    <definedName name="lan" localSheetId="13" hidden="1">{#N/A,#N/A,TRUE,"BT M200 da 10x20"}</definedName>
    <definedName name="lan" localSheetId="9" hidden="1">{#N/A,#N/A,TRUE,"BT M200 da 10x20"}</definedName>
    <definedName name="lan" hidden="1">{#N/A,#N/A,TRUE,"BT M200 da 10x20"}</definedName>
    <definedName name="LAND">#REF!</definedName>
    <definedName name="Last_Row">#N/A</definedName>
    <definedName name="Last_Year">#REF!</definedName>
    <definedName name="LAYOUT" localSheetId="13" hidden="1">{#N/A,#N/A,FALSE,"인원";#N/A,#N/A,FALSE,"비용2";#N/A,#N/A,FALSE,"비용1";#N/A,#N/A,FALSE,"비용";#N/A,#N/A,FALSE,"보증2";#N/A,#N/A,FALSE,"보증1";#N/A,#N/A,FALSE,"보증";#N/A,#N/A,FALSE,"손익1";#N/A,#N/A,FALSE,"손익";#N/A,#N/A,FALSE,"부서별매출";#N/A,#N/A,FALSE,"매출"}</definedName>
    <definedName name="LAYOUT" localSheetId="9" hidden="1">{#N/A,#N/A,FALSE,"인원";#N/A,#N/A,FALSE,"비용2";#N/A,#N/A,FALSE,"비용1";#N/A,#N/A,FALSE,"비용";#N/A,#N/A,FALSE,"보증2";#N/A,#N/A,FALSE,"보증1";#N/A,#N/A,FALSE,"보증";#N/A,#N/A,FALSE,"손익1";#N/A,#N/A,FALSE,"손익";#N/A,#N/A,FALSE,"부서별매출";#N/A,#N/A,FALSE,"매출"}</definedName>
    <definedName name="LAYOUT" hidden="1">{#N/A,#N/A,FALSE,"인원";#N/A,#N/A,FALSE,"비용2";#N/A,#N/A,FALSE,"비용1";#N/A,#N/A,FALSE,"비용";#N/A,#N/A,FALSE,"보증2";#N/A,#N/A,FALSE,"보증1";#N/A,#N/A,FALSE,"보증";#N/A,#N/A,FALSE,"손익1";#N/A,#N/A,FALSE,"손익";#N/A,#N/A,FALSE,"부서별매출";#N/A,#N/A,FALSE,"매출"}</definedName>
    <definedName name="LC5_total">#REF!</definedName>
    <definedName name="LC6_total">#REF!</definedName>
    <definedName name="LEASE">#REF!</definedName>
    <definedName name="leaserent">#REF!</definedName>
    <definedName name="LEGAL">#REF!</definedName>
    <definedName name="LegalSecret">#REF!</definedName>
    <definedName name="LETTER">#REF!</definedName>
    <definedName name="LevMaint_">#REF!</definedName>
    <definedName name="LG">#REF!</definedName>
    <definedName name="liab\inc\intt" localSheetId="9">"#REF!"</definedName>
    <definedName name="liab\inc\intt">#REF!</definedName>
    <definedName name="Liabilities">#REF!</definedName>
    <definedName name="LinesYee">#REF!</definedName>
    <definedName name="list1" localSheetId="13">#REF!</definedName>
    <definedName name="list1">#REF!</definedName>
    <definedName name="list2" localSheetId="13">#REF!</definedName>
    <definedName name="list2">#REF!</definedName>
    <definedName name="list3" localSheetId="13">#REF!</definedName>
    <definedName name="list3">#REF!</definedName>
    <definedName name="list4">#REF!</definedName>
    <definedName name="list5">#REF!</definedName>
    <definedName name="list6">#REF!</definedName>
    <definedName name="LISTE">#REF!</definedName>
    <definedName name="LL"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_control" localSheetId="13" hidden="1">{"'August 2000'!$A$1:$J$101"}</definedName>
    <definedName name="LL_control" localSheetId="9" hidden="1">{"'August 2000'!$A$1:$J$101"}</definedName>
    <definedName name="LL_control" hidden="1">{"'August 2000'!$A$1:$J$101"}</definedName>
    <definedName name="LLCR_max">#REF!</definedName>
    <definedName name="LLCR_min">#REF!</definedName>
    <definedName name="lo" localSheetId="13" hidden="1">{#N/A,#N/A,FALSE,"SUMMARY REPORT"}</definedName>
    <definedName name="lo" localSheetId="9" hidden="1">{#N/A,#N/A,FALSE,"SUMMARY REPORT"}</definedName>
    <definedName name="lo" hidden="1">{#N/A,#N/A,FALSE,"SUMMARY REPORT"}</definedName>
    <definedName name="loan">#REF!</definedName>
    <definedName name="Loan_Amount">#REF!</definedName>
    <definedName name="Loan_Start">#REF!</definedName>
    <definedName name="Loan_Years">#REF!</definedName>
    <definedName name="Loansinvest">#REF!</definedName>
    <definedName name="LOCAL">#REF!</definedName>
    <definedName name="Location">#REF!</definedName>
    <definedName name="Location1">#REF!</definedName>
    <definedName name="LOOKUP">#REF!</definedName>
    <definedName name="LSALES" localSheetId="13">#REF!</definedName>
    <definedName name="LSALES">#REF!</definedName>
    <definedName name="LTA">#REF!</definedName>
    <definedName name="LTSAOppTrkSummCost">#REF!</definedName>
    <definedName name="LTSAOppTrkSummPctList">#REF!</definedName>
    <definedName name="LTSAOppTrkSummSales">#REF!</definedName>
    <definedName name="m">#REF!</definedName>
    <definedName name="M_ACost" localSheetId="13">#REF!</definedName>
    <definedName name="M_ACost">#REF!</definedName>
    <definedName name="M_Agarwal" localSheetId="13">#REF!</definedName>
    <definedName name="M_Agarwal">#REF!</definedName>
    <definedName name="M_Arora" localSheetId="13">#REF!</definedName>
    <definedName name="M_Arora">#REF!</definedName>
    <definedName name="M_CapitalAvg">#REF!</definedName>
    <definedName name="M_CoName">#REF!</definedName>
    <definedName name="M_Denomination">#REF!</definedName>
    <definedName name="M_FinanseerTitle">#REF!</definedName>
    <definedName name="M_Lf">#REF!</definedName>
    <definedName name="M_Nayar" localSheetId="13">#REF!</definedName>
    <definedName name="M_Nayar">#REF!</definedName>
    <definedName name="M_Pf">#REF!</definedName>
    <definedName name="M_PrintFrom">#REF!</definedName>
    <definedName name="M_PrintTo">#REF!</definedName>
    <definedName name="M_Pt">#REF!</definedName>
    <definedName name="M_Sharan" localSheetId="13">#REF!</definedName>
    <definedName name="M_Sharan">#REF!</definedName>
    <definedName name="M_SSAdjustments">#REF!</definedName>
    <definedName name="m100000000" localSheetId="13">#REF!</definedName>
    <definedName name="m100000000">#REF!</definedName>
    <definedName name="ma">#REF!</definedName>
    <definedName name="MAACRS" localSheetId="13">#REF!</definedName>
    <definedName name="MAACRS">#REF!</definedName>
    <definedName name="MAADRS" localSheetId="13">#REF!</definedName>
    <definedName name="MAADRS">#REF!</definedName>
    <definedName name="MAAOC" localSheetId="13">#REF!</definedName>
    <definedName name="MAAOC">#REF!</definedName>
    <definedName name="MAAOD">#REF!</definedName>
    <definedName name="MAATB">#REF!</definedName>
    <definedName name="MACROLIB">#REF!</definedName>
    <definedName name="MACROLIB_2">#REF!</definedName>
    <definedName name="MACROLIB_5">"'file://Makess121/Documents and Settings/Satish Kanwar/Local Settings/Temporary Internet Files/OLK6A/Documents and Settings/Owner/My Documents/BS - 2004-05/BS 28.02.2005 STL - W.xls'#$B_Sheet.$#REF!$#REF!"</definedName>
    <definedName name="Madras">#REF!</definedName>
    <definedName name="Madrid">#REF!</definedName>
    <definedName name="Maint">3</definedName>
    <definedName name="MAJ_CON_EQP">#REF!</definedName>
    <definedName name="MAJOR">#REF!</definedName>
    <definedName name="MAJORFUND" localSheetId="13">#REF!</definedName>
    <definedName name="MAJORFUND">#REF!</definedName>
    <definedName name="MakeUpGPH" localSheetId="13">#REF!</definedName>
    <definedName name="MakeUpGPH">#REF!</definedName>
    <definedName name="MAM" localSheetId="13">#REF!</definedName>
    <definedName name="MAM">#REF!</definedName>
    <definedName name="Manpower1" localSheetId="13" hidden="1">{#N/A,#N/A,FALSE,"SUMMARY REPORT"}</definedName>
    <definedName name="Manpower1" localSheetId="9" hidden="1">{#N/A,#N/A,FALSE,"SUMMARY REPORT"}</definedName>
    <definedName name="Manpower1" hidden="1">{#N/A,#N/A,FALSE,"SUMMARY REPORT"}</definedName>
    <definedName name="MANU_EXP">#REF!</definedName>
    <definedName name="mapdata">#REF!</definedName>
    <definedName name="mar">#REF!</definedName>
    <definedName name="MAR.97" localSheetId="13">#REF!</definedName>
    <definedName name="MAR.97">#REF!</definedName>
    <definedName name="maradj" localSheetId="13">#REF!</definedName>
    <definedName name="maradj">#REF!</definedName>
    <definedName name="MARCH">#N/A</definedName>
    <definedName name="MARDATA?" localSheetId="13">#REF!</definedName>
    <definedName name="MARDATA?">#REF!</definedName>
    <definedName name="MARGIN">#REF!</definedName>
    <definedName name="MARINE">#N/A</definedName>
    <definedName name="MARIYA_RAPOSE">#REF!</definedName>
    <definedName name="MARKET">#REF!</definedName>
    <definedName name="MarketgCon" localSheetId="13">#REF!</definedName>
    <definedName name="MarketgCon">#REF!</definedName>
    <definedName name="MARKETING">#REF!</definedName>
    <definedName name="masaru" localSheetId="13">#REF!</definedName>
    <definedName name="masaru">#REF!</definedName>
    <definedName name="mast">#REF!</definedName>
    <definedName name="Master" localSheetId="13">#REF!</definedName>
    <definedName name="Master">#REF!</definedName>
    <definedName name="masterdata" localSheetId="13">#REF!</definedName>
    <definedName name="masterdata">#REF!</definedName>
    <definedName name="MAT" localSheetId="13">#REF!</definedName>
    <definedName name="MAT">#REF!</definedName>
    <definedName name="MATAV__Hungary" localSheetId="13">#REF!</definedName>
    <definedName name="MATAV__Hungary">#REF!</definedName>
    <definedName name="MaterialPen" localSheetId="13">#REF!</definedName>
    <definedName name="MaterialPen">#REF!</definedName>
    <definedName name="matrix" localSheetId="13">#REF!</definedName>
    <definedName name="matrix">#REF!</definedName>
    <definedName name="May" localSheetId="13">#REF!</definedName>
    <definedName name="May">#REF!</definedName>
    <definedName name="MAYDATA?" localSheetId="13">#REF!</definedName>
    <definedName name="MAYDATA?">#REF!</definedName>
    <definedName name="mayumi" localSheetId="13">#REF!</definedName>
    <definedName name="mayumi">#REF!</definedName>
    <definedName name="mbangtai10" localSheetId="13">#REF!</definedName>
    <definedName name="mbangtai10">#REF!</definedName>
    <definedName name="mbangtai100">#REF!</definedName>
    <definedName name="mbangtai15">#REF!</definedName>
    <definedName name="mbangtai150">#REF!</definedName>
    <definedName name="mbangtai25">#REF!</definedName>
    <definedName name="mbf" localSheetId="9">#REF!</definedName>
    <definedName name="mbf">#REF!</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p" localSheetId="9">#REF!</definedName>
    <definedName name="mbp">#REF!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c">#REF!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uakl1.7">#REF!</definedName>
    <definedName name="MCV.WEEKLY" localSheetId="13" hidden="1">{#N/A,#N/A,FALSE,"SUMMARY REPORT"}</definedName>
    <definedName name="MCV.WEEKLY" localSheetId="9" hidden="1">{#N/A,#N/A,FALSE,"SUMMARY REPORT"}</definedName>
    <definedName name="MCV.WEEKLY" hidden="1">{#N/A,#N/A,FALSE,"SUMMARY REPORT"}</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Office">#REF!</definedName>
    <definedName name="me">#REF!</definedName>
    <definedName name="MEDICAL">#REF!</definedName>
    <definedName name="MEDICAL_2">#REF!</definedName>
    <definedName name="MEENA_JAGTIANI">#REF!</definedName>
    <definedName name="MEN">#REF!</definedName>
    <definedName name="MENU" localSheetId="13">#REF!</definedName>
    <definedName name="MENU">#REF!</definedName>
    <definedName name="mepcocsau1" localSheetId="13">#REF!</definedName>
    <definedName name="mepcocsau1">#REF!</definedName>
    <definedName name="mepcoctr100" localSheetId="13">#REF!</definedName>
    <definedName name="mepcoctr100">#REF!</definedName>
    <definedName name="mepcoctr60">#REF!</definedName>
    <definedName name="METAL1">#REF!</definedName>
    <definedName name="Methods">#REF!</definedName>
    <definedName name="metrix">#REF!</definedName>
    <definedName name="mexo">#REF!</definedName>
    <definedName name="MEXV">#REF!</definedName>
    <definedName name="MF" localSheetId="13" hidden="1">#REF!</definedName>
    <definedName name="MF" localSheetId="9" hidden="1">#REF!</definedName>
    <definedName name="MF" hidden="1">#REF!</definedName>
    <definedName name="MFARRAY1">#REF!</definedName>
    <definedName name="MFCATEGORY1">#REF!</definedName>
    <definedName name="mfg">#REF!</definedName>
    <definedName name="MFYEAR1">#REF!</definedName>
    <definedName name="MG_A" localSheetId="13">#REF!</definedName>
    <definedName name="MG_A">#REF!</definedName>
    <definedName name="mgmt">#REF!</definedName>
    <definedName name="mhan1chieu40" localSheetId="13">#REF!</definedName>
    <definedName name="mhan1chieu40">#REF!</definedName>
    <definedName name="mhan1chieu50" localSheetId="13">#REF!</definedName>
    <definedName name="mhan1chieu50">#REF!</definedName>
    <definedName name="mhancatnuoc124" localSheetId="13">#REF!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t" localSheetId="13" hidden="1">{#N/A,#N/A,FALSE,"SUMMARY REPORT"}</definedName>
    <definedName name="mht" localSheetId="9" hidden="1">{#N/A,#N/A,FALSE,"SUMMARY REPORT"}</definedName>
    <definedName name="mht" hidden="1">{#N/A,#N/A,FALSE,"SUMMARY REPORT"}</definedName>
    <definedName name="Mics.exp">#REF!</definedName>
    <definedName name="MID">#REF!</definedName>
    <definedName name="mike_t" localSheetId="13">#REF!</definedName>
    <definedName name="mike_t">#REF!</definedName>
    <definedName name="Milks" localSheetId="13">#REF!</definedName>
    <definedName name="Milks">#REF!</definedName>
    <definedName name="MISC" localSheetId="13">#REF!</definedName>
    <definedName name="MISC" localSheetId="9">#REF!</definedName>
    <definedName name="MISC">#REF!</definedName>
    <definedName name="MISC_EXP">#REF!</definedName>
    <definedName name="misgroup" localSheetId="9" hidden="1">#REF!</definedName>
    <definedName name="misgroup" hidden="1">#REF!</definedName>
    <definedName name="MISS" localSheetId="13" hidden="1">{TRUE,FALSE,-1.25,-15.5,484.5,293.25,FALSE,TRUE,TRUE,TRUE,0,1,3,329,#N/A,1,21.8823529411765,2,TRUE,FALSE,3,TRUE,1,TRUE,100,"Swvu.a.","ACwvu.a.",#N/A,FALSE,FALSE,0.1,2.66,1.35,0,2,"","",TRUE,FALSE,FALSE,TRUE,1,87,#N/A,#N/A,"=R354C1:R476C10",FALSE,FALSE,FALSE,FALSE,FALSE,FALSE,5,300,300,FALSE,FALSE,TRUE,TRUE,TRUE}</definedName>
    <definedName name="MISS" localSheetId="9" hidden="1">{TRUE,FALSE,-1.25,-15.5,484.5,293.25,FALSE,TRUE,TRUE,TRUE,0,1,3,329,#N/A,1,21.8823529411765,2,TRUE,FALSE,3,TRUE,1,TRUE,100,"Swvu.a.","ACwvu.a.",#N/A,FALSE,FALSE,0.1,2.66,1.35,0,2,"","",TRUE,FALSE,FALSE,TRUE,1,87,#N/A,#N/A,"=R354C1:R476C10",FALSE,FALSE,FALSE,FALSE,FALSE,FALSE,5,300,300,FALSE,FALSE,TRUE,TRUE,TRUE}</definedName>
    <definedName name="MISS" hidden="1">{TRUE,FALSE,-1.25,-15.5,484.5,293.25,FALSE,TRUE,TRUE,TRUE,0,1,3,329,#N/A,1,21.8823529411765,2,TRUE,FALSE,3,TRUE,1,TRUE,100,"Swvu.a.","ACwvu.a.",#N/A,FALSE,FALSE,0.1,2.66,1.35,0,2,"","",TRUE,FALSE,FALSE,TRUE,1,87,#N/A,#N/A,"=R354C1:R476C10",FALSE,FALSE,FALSE,FALSE,FALSE,FALSE,5,300,300,FALSE,FALSE,TRUE,TRUE,TRUE}</definedName>
    <definedName name="mjy" localSheetId="13" hidden="1">{#N/A,#N/A,FALSE,"SUMMARY REPORT"}</definedName>
    <definedName name="mjy" localSheetId="9" hidden="1">{#N/A,#N/A,FALSE,"SUMMARY REPORT"}</definedName>
    <definedName name="mjy" hidden="1">{#N/A,#N/A,FALSE,"SUMMARY REPORT"}</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tgserv">#REF!</definedName>
    <definedName name="mktvalue97">#REF!</definedName>
    <definedName name="mluoncap15">#REF!</definedName>
    <definedName name="MM" hidden="1">#N/A</definedName>
    <definedName name="mmai2.7">#REF!</definedName>
    <definedName name="MMLB_SO_DECEMBE">#REF!</definedName>
    <definedName name="MMLB_SO_FEBRUAR">#REF!</definedName>
    <definedName name="MMLB_SO_JANUARY">#REF!</definedName>
    <definedName name="MMLB_SO_NOVEMBE">#REF!</definedName>
    <definedName name="MMLB_SO_OCTOBER">#REF!</definedName>
    <definedName name="MMLB_SO_SEPTEMB">#REF!</definedName>
    <definedName name="MMLB_SOLD_ANNUA">#REF!</definedName>
    <definedName name="MMLB_SOLD_APRIL">#REF!</definedName>
    <definedName name="MMLB_SOLD_AUGUS">#REF!</definedName>
    <definedName name="MMLB_SOLD_JULY">#REF!</definedName>
    <definedName name="MMLB_SOLD_JUNE">#REF!</definedName>
    <definedName name="MMLB_SOLD_MARCH">#REF!</definedName>
    <definedName name="MMLB_SOLD_MAY">#REF!</definedName>
    <definedName name="mmnbv" localSheetId="13" hidden="1">{#N/A,#N/A,FALSE,"SUMMARY REPORT"}</definedName>
    <definedName name="mmnbv" localSheetId="9" hidden="1">{#N/A,#N/A,FALSE,"SUMMARY REPORT"}</definedName>
    <definedName name="mmnbv" hidden="1">{#N/A,#N/A,FALSE,"SUMMARY REPORT"}</definedName>
    <definedName name="mnb" localSheetId="13" hidden="1">{#N/A,#N/A,FALSE,"SUMMARY REPORT"}</definedName>
    <definedName name="mnb" localSheetId="9" hidden="1">{#N/A,#N/A,FALSE,"SUMMARY REPORT"}</definedName>
    <definedName name="mnb" hidden="1">{#N/A,#N/A,FALSE,"SUMMARY REPORT"}</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 localSheetId="13" hidden="1">{#N/A,#N/A,FALSE,"SUMMARY REPORT"}</definedName>
    <definedName name="mnh" localSheetId="9" hidden="1">{#N/A,#N/A,FALSE,"SUMMARY REPORT"}</definedName>
    <definedName name="mnh" hidden="1">{#N/A,#N/A,FALSE,"SUMMARY REPORT"}</definedName>
    <definedName name="mnhogcaydk100">#REF!</definedName>
    <definedName name="mnhogcaydk54">#REF!</definedName>
    <definedName name="mnhogcaydk75">#REF!</definedName>
    <definedName name="MNO" localSheetId="9">#REF!</definedName>
    <definedName name="MNO">#REF!</definedName>
    <definedName name="MO">#REF!</definedName>
    <definedName name="Model">#REF!</definedName>
    <definedName name="MODIF">#N/A</definedName>
    <definedName name="mon">#REF!</definedName>
    <definedName name="MONDAY">#REF!</definedName>
    <definedName name="Monetary_Precision" localSheetId="13">#REF!</definedName>
    <definedName name="Monetary_Precision">#REF!</definedName>
    <definedName name="Month" localSheetId="13">#REF!</definedName>
    <definedName name="Month">#REF!</definedName>
    <definedName name="month_review" localSheetId="13">#REF!</definedName>
    <definedName name="month_review">#REF!</definedName>
    <definedName name="Monthly">#REF!</definedName>
    <definedName name="months">#REF!</definedName>
    <definedName name="morita">#REF!</definedName>
    <definedName name="moritavn">#REF!</definedName>
    <definedName name="motodk150">#REF!</definedName>
    <definedName name="motodk180">#REF!</definedName>
    <definedName name="motodk200">#REF!</definedName>
    <definedName name="motodk240">#REF!</definedName>
    <definedName name="motodk255">#REF!</definedName>
    <definedName name="motodk272">#REF!</definedName>
    <definedName name="MOTORCAR">#REF!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uld">#REF!</definedName>
    <definedName name="MOULD2">#REF!</definedName>
    <definedName name="mp">#REF!</definedName>
    <definedName name="MP_Singh" localSheetId="13">#REF!</definedName>
    <definedName name="MP_Singh">#REF!</definedName>
    <definedName name="mpha250" localSheetId="13">#REF!</definedName>
    <definedName name="mpha250">#REF!</definedName>
    <definedName name="mphaothep10" localSheetId="13">#REF!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raibtsp500">#REF!</definedName>
    <definedName name="mraintn100">#REF!</definedName>
    <definedName name="mraintn65">#REF!</definedName>
    <definedName name="mromooc14">#REF!</definedName>
    <definedName name="mromooc15">#REF!</definedName>
    <definedName name="mromooc2">#REF!</definedName>
    <definedName name="mromooc21">#REF!</definedName>
    <definedName name="mromooc4">#REF!</definedName>
    <definedName name="mromooc7.5">#REF!</definedName>
    <definedName name="MS">#REF!</definedName>
    <definedName name="msangbentontie1" localSheetId="13">#REF!</definedName>
    <definedName name="msangbentontie1">#REF!</definedName>
    <definedName name="msangruada11" localSheetId="13">#REF!</definedName>
    <definedName name="msangruada11">#REF!</definedName>
    <definedName name="msangruada35" localSheetId="13">#REF!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ARRAY">#REF!</definedName>
    <definedName name="MSC_Ericsson" localSheetId="13">#REF!</definedName>
    <definedName name="MSC_Ericsson">#REF!</definedName>
    <definedName name="MSCATEGORY">#REF!</definedName>
    <definedName name="MSCLASS">#REF!</definedName>
    <definedName name="MSPD_PARTS">#REF!</definedName>
    <definedName name="MSYEAR">#REF!</definedName>
    <definedName name="MSYEAR1">#REF!</definedName>
    <definedName name="mtaukeo150" localSheetId="13">#REF!</definedName>
    <definedName name="mtaukeo150">#REF!</definedName>
    <definedName name="mtaukeo360" localSheetId="13">#REF!</definedName>
    <definedName name="mtaukeo360">#REF!</definedName>
    <definedName name="mtaukeo600" localSheetId="13">#REF!</definedName>
    <definedName name="mtaukeo600">#REF!</definedName>
    <definedName name="mtbipvlan150">#REF!</definedName>
    <definedName name="MTD">#REF!</definedName>
    <definedName name="MTGEXP">#REF!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 localSheetId="13" hidden="1">{#N/A,#N/A,FALSE,"SUMMARY REPORT"}</definedName>
    <definedName name="mtr" localSheetId="9" hidden="1">{#N/A,#N/A,FALSE,"SUMMARY REPORT"}</definedName>
    <definedName name="mtr" hidden="1">{#N/A,#N/A,FALSE,"SUMMARY REPORT"}</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y">#REF!</definedName>
    <definedName name="MUL">#REF!</definedName>
    <definedName name="MUM_off">#REF!</definedName>
    <definedName name="Mumbai" localSheetId="13">#REF!</definedName>
    <definedName name="Mumbai">#REF!</definedName>
    <definedName name="MUNISH_PAL" localSheetId="13">#REF!</definedName>
    <definedName name="MUNISH_PAL">#REF!</definedName>
    <definedName name="muonong2.8" localSheetId="13">#REF!</definedName>
    <definedName name="muonong2.8">#REF!</definedName>
    <definedName name="mva">#REF!</definedName>
    <definedName name="mvanthang0.3">#REF!</definedName>
    <definedName name="mvanthang0.5">#REF!</definedName>
    <definedName name="mvanthang2">#REF!</definedName>
    <definedName name="MW_PA">#REF!</definedName>
    <definedName name="MWScale">#REF!</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le">#REF!</definedName>
    <definedName name="n" localSheetId="9" hidden="1">#REF!</definedName>
    <definedName name="n" hidden="1">#REF!</definedName>
    <definedName name="N_Rodrigues">#REF!</definedName>
    <definedName name="N_Tandon">#REF!</definedName>
    <definedName name="NA_Average">#REF!</definedName>
    <definedName name="name">#REF!</definedName>
    <definedName name="NameList" localSheetId="13">#REF!</definedName>
    <definedName name="NameList">#REF!</definedName>
    <definedName name="NB">#REF!</definedName>
    <definedName name="nbpop">#REF!</definedName>
    <definedName name="NBPV">#REF!</definedName>
    <definedName name="nc" localSheetId="13">#REF!</definedName>
    <definedName name="nc">#REF!</definedName>
    <definedName name="ncong" localSheetId="13">#REF!</definedName>
    <definedName name="ncong">#REF!</definedName>
    <definedName name="ne" localSheetId="13" hidden="1">{"F1 PAGE 1",#N/A,FALSE,"F1";"F1 PAGE 2",#N/A,FALSE,"F1"}</definedName>
    <definedName name="ne" localSheetId="9" hidden="1">{"F1 PAGE 1",#N/A,FALSE,"F1";"F1 PAGE 2",#N/A,FALSE,"F1"}</definedName>
    <definedName name="ne" hidden="1">{"F1 PAGE 1",#N/A,FALSE,"F1";"F1 PAGE 2",#N/A,FALSE,"F1"}</definedName>
    <definedName name="NET">#REF!</definedName>
    <definedName name="NET_1">#REF!</definedName>
    <definedName name="NET_ANA">#REF!</definedName>
    <definedName name="NET_ANA_1">#REF!</definedName>
    <definedName name="NET_ANA_2">#REF!</definedName>
    <definedName name="Net_Present_Value">#REF!</definedName>
    <definedName name="Netblock">#REF!</definedName>
    <definedName name="new">#REF!</definedName>
    <definedName name="New_Salaries">#REF!</definedName>
    <definedName name="New_Zealand">#REF!</definedName>
    <definedName name="newdata">#REF!</definedName>
    <definedName name="newmpower" localSheetId="13">#REF!</definedName>
    <definedName name="newmpower">#REF!</definedName>
    <definedName name="Newmpowerledger" localSheetId="13">#REF!</definedName>
    <definedName name="Newmpowerledger">#REF!</definedName>
    <definedName name="Newport" localSheetId="13">#REF!</definedName>
    <definedName name="Newport">#REF!</definedName>
    <definedName name="newtrial">#REF!</definedName>
    <definedName name="NEXT">#N/A</definedName>
    <definedName name="NG">#REF!</definedName>
    <definedName name="NGDEVICES">#REF!</definedName>
    <definedName name="ngr" localSheetId="13" hidden="1">{#N/A,#N/A,FALSE,"SUMMARY REPORT"}</definedName>
    <definedName name="ngr" localSheetId="9" hidden="1">{#N/A,#N/A,FALSE,"SUMMARY REPORT"}</definedName>
    <definedName name="ngr" hidden="1">{#N/A,#N/A,FALSE,"SUMMARY REPORT"}</definedName>
    <definedName name="NGSPU">#REF!</definedName>
    <definedName name="NH">#REF!</definedName>
    <definedName name="NHot">#REF!</definedName>
    <definedName name="nht" localSheetId="13" hidden="1">{#N/A,#N/A,FALSE,"SUMMARY REPORT"}</definedName>
    <definedName name="nht" localSheetId="9" hidden="1">{#N/A,#N/A,FALSE,"SUMMARY REPORT"}</definedName>
    <definedName name="nht" hidden="1">{#N/A,#N/A,FALSE,"SUMMARY REPORT"}</definedName>
    <definedName name="nhu" localSheetId="13" hidden="1">{#N/A,#N/A,FALSE,"SUMMARY REPORT"}</definedName>
    <definedName name="nhu" localSheetId="9" hidden="1">{#N/A,#N/A,FALSE,"SUMMARY REPORT"}</definedName>
    <definedName name="nhu" hidden="1">{#N/A,#N/A,FALSE,"SUMMARY REPORT"}</definedName>
    <definedName name="Nil" localSheetId="13" hidden="1">{#N/A,#N/A,FALSE,"Aging Summary";#N/A,#N/A,FALSE,"Ratio Analysis";#N/A,#N/A,FALSE,"Test 120 Day Accts";#N/A,#N/A,FALSE,"Tickmarks"}</definedName>
    <definedName name="Nil" localSheetId="9" hidden="1">{#N/A,#N/A,FALSE,"Aging Summary";#N/A,#N/A,FALSE,"Ratio Analysis";#N/A,#N/A,FALSE,"Test 120 Day Accts";#N/A,#N/A,FALSE,"Tickmarks"}</definedName>
    <definedName name="Nil" hidden="1">{#N/A,#N/A,FALSE,"Aging Summary";#N/A,#N/A,FALSE,"Ratio Analysis";#N/A,#N/A,FALSE,"Test 120 Day Accts";#N/A,#N/A,FALSE,"Tickmarks"}</definedName>
    <definedName name="nmm" localSheetId="13" hidden="1">{#N/A,#N/A,FALSE,"SUMMARY REPORT"}</definedName>
    <definedName name="nmm" localSheetId="9" hidden="1">{#N/A,#N/A,FALSE,"SUMMARY REPORT"}</definedName>
    <definedName name="nmm" hidden="1">{#N/A,#N/A,FALSE,"SUMMARY REPORT"}</definedName>
    <definedName name="NMWH_ANNUAL">#REF!</definedName>
    <definedName name="NMWH_APRIL">#REF!</definedName>
    <definedName name="NMWH_AUGUST">#REF!</definedName>
    <definedName name="NMWH_DECEMBER">#REF!</definedName>
    <definedName name="NMWH_FEBRUARY">#REF!</definedName>
    <definedName name="NMWH_JANUARY">#REF!</definedName>
    <definedName name="NMWH_JULY">#REF!</definedName>
    <definedName name="NMWH_JUNE">#REF!</definedName>
    <definedName name="NMWH_MARCH">#REF!</definedName>
    <definedName name="NMWH_MAY">#REF!</definedName>
    <definedName name="NMWH_NOVEMBER">#REF!</definedName>
    <definedName name="NMWH_OCTOBER">#REF!</definedName>
    <definedName name="NMWH_SEPTEMBER">#REF!</definedName>
    <definedName name="nnnnnnnnnn" localSheetId="13" hidden="1">{#N/A,#N/A,FALSE,"Status of Projects";#N/A,#N/A,FALSE,"CEA-TEC";#N/A,#N/A,FALSE,"U-Constr.";#N/A,#N/A,FALSE,"summary";#N/A,#N/A,FALSE,"PPP-3 yrs"}</definedName>
    <definedName name="nnnnnnnnnn" localSheetId="9" hidden="1">{#N/A,#N/A,FALSE,"Status of Projects";#N/A,#N/A,FALSE,"CEA-TEC";#N/A,#N/A,FALSE,"U-Constr.";#N/A,#N/A,FALSE,"summary";#N/A,#N/A,FALSE,"PPP-3 yrs"}</definedName>
    <definedName name="nnnnnnnnnn" hidden="1">{#N/A,#N/A,FALSE,"Status of Projects";#N/A,#N/A,FALSE,"CEA-TEC";#N/A,#N/A,FALSE,"U-Constr.";#N/A,#N/A,FALSE,"summary";#N/A,#N/A,FALSE,"PPP-3 yrs"}</definedName>
    <definedName name="nnnnnnnnnn_1" localSheetId="13" hidden="1">{#N/A,#N/A,FALSE,"Status of Projects";#N/A,#N/A,FALSE,"CEA-TEC";#N/A,#N/A,FALSE,"U-Constr.";#N/A,#N/A,FALSE,"summary";#N/A,#N/A,FALSE,"PPP-3 yrs"}</definedName>
    <definedName name="nnnnnnnnnn_1" localSheetId="9" hidden="1">{#N/A,#N/A,FALSE,"Status of Projects";#N/A,#N/A,FALSE,"CEA-TEC";#N/A,#N/A,FALSE,"U-Constr.";#N/A,#N/A,FALSE,"summary";#N/A,#N/A,FALSE,"PPP-3 yrs"}</definedName>
    <definedName name="nnnnnnnnnn_1" hidden="1">{#N/A,#N/A,FALSE,"Status of Projects";#N/A,#N/A,FALSE,"CEA-TEC";#N/A,#N/A,FALSE,"U-Constr.";#N/A,#N/A,FALSE,"summary";#N/A,#N/A,FALSE,"PPP-3 yrs"}</definedName>
    <definedName name="No">#REF!</definedName>
    <definedName name="nonop">#REF!</definedName>
    <definedName name="NOOFFFSEGMENTS1" localSheetId="13">#REF!</definedName>
    <definedName name="NOOFFFSEGMENTS1">#REF!</definedName>
    <definedName name="NOOFFFSEGMENTS2" localSheetId="13">#REF!</definedName>
    <definedName name="NOOFFFSEGMENTS2">#REF!</definedName>
    <definedName name="NOOFFFSEGMENTS3" localSheetId="13">#REF!</definedName>
    <definedName name="NOOFFFSEGMENTS3">#REF!</definedName>
    <definedName name="NOOFFFSEGMENTS4">#REF!</definedName>
    <definedName name="NOOFFFSEGMENTS5">#REF!</definedName>
    <definedName name="NOOFFFSEGMENTS6">#REF!</definedName>
    <definedName name="NOOFFFSEGMENTS7">#REF!</definedName>
    <definedName name="NOPAT">#REF!</definedName>
    <definedName name="nopat97">#REF!</definedName>
    <definedName name="nopatadj">#REF!</definedName>
    <definedName name="nopatcapital97">#REF!</definedName>
    <definedName name="NOPATLink">#REF!</definedName>
    <definedName name="nopatsales97" localSheetId="13">#REF!</definedName>
    <definedName name="nopatsales97">#REF!</definedName>
    <definedName name="NORTH">#REF!</definedName>
    <definedName name="NorthEast" localSheetId="13">#REF!</definedName>
    <definedName name="NorthEast">#REF!</definedName>
    <definedName name="Norway">#REF!</definedName>
    <definedName name="note_1to7" localSheetId="13">#REF!</definedName>
    <definedName name="note_1to7">#REF!</definedName>
    <definedName name="NOTE_8" localSheetId="13">#REF!</definedName>
    <definedName name="NOTE_8">#REF!</definedName>
    <definedName name="NOTES">#N/A</definedName>
    <definedName name="NOTES.MDS4"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S.MDS4"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S.MDS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S1" hidden="1">#REF!</definedName>
    <definedName name="NOV">#REF!</definedName>
    <definedName name="NOVDATA?">#REF!</definedName>
    <definedName name="NP">#REF!</definedName>
    <definedName name="npat">#REF!</definedName>
    <definedName name="NPBT">#REF!</definedName>
    <definedName name="NPECODE">#REF!</definedName>
    <definedName name="nrw" localSheetId="13" hidden="1">{#N/A,#N/A,FALSE,"SUMMARY REPORT"}</definedName>
    <definedName name="nrw" localSheetId="9" hidden="1">{#N/A,#N/A,FALSE,"SUMMARY REPORT"}</definedName>
    <definedName name="nrw" hidden="1">{#N/A,#N/A,FALSE,"SUMMARY REPORT"}</definedName>
    <definedName name="NSC">#REF!</definedName>
    <definedName name="nSkip">15</definedName>
    <definedName name="ntr" localSheetId="13" hidden="1">{#N/A,#N/A,FALSE,"SUMMARY REPORT"}</definedName>
    <definedName name="ntr" localSheetId="9" hidden="1">{#N/A,#N/A,FALSE,"SUMMARY REPORT"}</definedName>
    <definedName name="ntr" hidden="1">{#N/A,#N/A,FALSE,"SUMMARY REPORT"}</definedName>
    <definedName name="NUL">#REF!</definedName>
    <definedName name="Num_Pmt_Per_Year" localSheetId="13">#REF!</definedName>
    <definedName name="Num_Pmt_Per_Year">#REF!</definedName>
    <definedName name="Number_of_Payments" localSheetId="13">MATCH(0.01,End_Bal,-1)+1</definedName>
    <definedName name="Number_of_Payments" localSheetId="9">MATCH(0.01,[0]!End_Bal,-1)+1</definedName>
    <definedName name="Number_of_Payments">MATCH(0.01,End_Bal,-1)+1</definedName>
    <definedName name="Number_of_projects">#REF!</definedName>
    <definedName name="NUMBEROFDETAILFIELDS1" localSheetId="13">#REF!</definedName>
    <definedName name="NUMBEROFDETAILFIELDS1">#REF!</definedName>
    <definedName name="NUMBEROFDETAILFIELDS2" localSheetId="13">#REF!</definedName>
    <definedName name="NUMBEROFDETAILFIELDS2">#REF!</definedName>
    <definedName name="NUMBEROFDETAILFIELDS3" localSheetId="13">#REF!</definedName>
    <definedName name="NUMBEROFDETAILFIELDS3">#REF!</definedName>
    <definedName name="NUMBEROFDETAILFIELDS4">#REF!</definedName>
    <definedName name="NUMBEROFDETAILFIELDS5">#REF!</definedName>
    <definedName name="NUMBEROFDETAILFIELDS6">#REF!</definedName>
    <definedName name="NUMBEROFDETAILFIELDS7">#REF!</definedName>
    <definedName name="NUMBEROFHEADERFIELDS1">#REF!</definedName>
    <definedName name="NUMBEROFHEADERFIELDS2">#REF!</definedName>
    <definedName name="NUMBEROFHEADERFIELDS3">#REF!</definedName>
    <definedName name="NUMBEROFHEADERFIELDS4">#REF!</definedName>
    <definedName name="NUMBEROFHEADERFIELDS5">#REF!</definedName>
    <definedName name="NUMBEROFHEADERFIELDS6">#REF!</definedName>
    <definedName name="NUMBEROFHEADERFIELDS7">#REF!</definedName>
    <definedName name="NUMMONTH">#REF!</definedName>
    <definedName name="o"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b">#REF!</definedName>
    <definedName name="OCode">#REF!</definedName>
    <definedName name="OCT">#N/A</definedName>
    <definedName name="OCTDATA?">#REF!</definedName>
    <definedName name="odaki">#REF!</definedName>
    <definedName name="OEQP">#REF!</definedName>
    <definedName name="officeexp">#REF!</definedName>
    <definedName name="OFFSET2">#REF!</definedName>
    <definedName name="OFFSET3">#REF!</definedName>
    <definedName name="OFFV">#REF!</definedName>
    <definedName name="OI_Var_Output" localSheetId="13">#REF!</definedName>
    <definedName name="OI_Var_Output">#REF!</definedName>
    <definedName name="oiu" localSheetId="13" hidden="1">{#N/A,#N/A,FALSE,"SUMMARY REPORT"}</definedName>
    <definedName name="oiu" localSheetId="9" hidden="1">{#N/A,#N/A,FALSE,"SUMMARY REPORT"}</definedName>
    <definedName name="oiu" hidden="1">{#N/A,#N/A,FALSE,"SUMMARY REPORT"}</definedName>
    <definedName name="ojn" localSheetId="13" hidden="1">{#N/A,#N/A,FALSE,"SUMMARY REPORT"}</definedName>
    <definedName name="ojn" localSheetId="9" hidden="1">{#N/A,#N/A,FALSE,"SUMMARY REPORT"}</definedName>
    <definedName name="ojn" hidden="1">{#N/A,#N/A,FALSE,"SUMMARY REPORT"}</definedName>
    <definedName name="ok">#REF!</definedName>
    <definedName name="OKL" localSheetId="13" hidden="1">{"DJH3",#N/A,FALSE,"PFL00805";"PJB3",#N/A,FALSE,"PFL00805";"JMD3",#N/A,FALSE,"PFL00805";"DNB3",#N/A,FALSE,"PFL00805";"MJP3",#N/A,FALSE,"PFL00805";"RAB3",#N/A,FALSE,"PFL00805";"GJW3",#N/A,FALSE,"PFL00805";"MASTER3",#N/A,FALSE,"PFL00805"}</definedName>
    <definedName name="OKL" localSheetId="9"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ld">#REF!</definedName>
    <definedName name="old_serial">#REF!</definedName>
    <definedName name="ONE" localSheetId="13">#REF!</definedName>
    <definedName name="ONE">#REF!</definedName>
    <definedName name="OO"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ooooo" localSheetId="13" hidden="1">{"F1 PAGE 1",#N/A,FALSE,"F1";"F1 PAGE 2",#N/A,FALSE,"F1"}</definedName>
    <definedName name="oooooooooooo" localSheetId="9" hidden="1">{"F1 PAGE 1",#N/A,FALSE,"F1";"F1 PAGE 2",#N/A,FALSE,"F1"}</definedName>
    <definedName name="oooooooooooo" hidden="1">{"F1 PAGE 1",#N/A,FALSE,"F1";"F1 PAGE 2",#N/A,FALSE,"F1"}</definedName>
    <definedName name="op" localSheetId="13" hidden="1">{#N/A,#N/A,FALSE,"SUMMARY REPORT"}</definedName>
    <definedName name="op" localSheetId="9" hidden="1">{#N/A,#N/A,FALSE,"SUMMARY REPORT"}</definedName>
    <definedName name="op" hidden="1">{#N/A,#N/A,FALSE,"SUMMARY REPORT"}</definedName>
    <definedName name="OPackage">#REF!</definedName>
    <definedName name="OPackage_ID">#REF!</definedName>
    <definedName name="OPCAP" localSheetId="13">#REF!</definedName>
    <definedName name="OPCAP">#REF!</definedName>
    <definedName name="OPDT">#REF!</definedName>
    <definedName name="OperatingHrs" localSheetId="13">#REF!</definedName>
    <definedName name="OperatingHrs">#REF!</definedName>
    <definedName name="OPFE" localSheetId="13">#REF!</definedName>
    <definedName name="OPFE">#REF!</definedName>
    <definedName name="ophom" localSheetId="13">#REF!</definedName>
    <definedName name="ophom">#REF!</definedName>
    <definedName name="OppTrkSummPctList">#REF!</definedName>
    <definedName name="OppTrkSummSales">#REF!</definedName>
    <definedName name="Ops_Data" localSheetId="13">#REF!</definedName>
    <definedName name="Ops_Data">#REF!</definedName>
    <definedName name="Order2" hidden="1">1</definedName>
    <definedName name="Orders">#REF!</definedName>
    <definedName name="OrderTable" localSheetId="13" hidden="1">#REF!</definedName>
    <definedName name="OrderTable" localSheetId="9" hidden="1">#REF!</definedName>
    <definedName name="OrderTable" hidden="1">#REF!</definedName>
    <definedName name="OSAP">#REF!</definedName>
    <definedName name="OTH_INC" localSheetId="13">#REF!</definedName>
    <definedName name="OTH_INC">#REF!</definedName>
    <definedName name="otherga">#REF!</definedName>
    <definedName name="otherop">#REF!</definedName>
    <definedName name="Others" localSheetId="13">#REF!</definedName>
    <definedName name="Others">#REF!</definedName>
    <definedName name="OTHLIAB" localSheetId="13">#REF!</definedName>
    <definedName name="OTHLIAB">#REF!</definedName>
    <definedName name="Out_file2" localSheetId="13">#REF!</definedName>
    <definedName name="Out_file2">#REF!</definedName>
    <definedName name="Out_of_balance" localSheetId="13">#REF!</definedName>
    <definedName name="Out_of_balance">#REF!</definedName>
    <definedName name="Outputs" localSheetId="13">#REF!</definedName>
    <definedName name="Outputs">#REF!</definedName>
    <definedName name="OVERVIEW" localSheetId="13">#REF!</definedName>
    <definedName name="OVERVIEW">#REF!</definedName>
    <definedName name="ovf" localSheetId="13">#REF!</definedName>
    <definedName name="ovf">#REF!</definedName>
    <definedName name="oyt">#REF!</definedName>
    <definedName name="P" localSheetId="13">#REF!</definedName>
    <definedName name="P" localSheetId="9">#REF!</definedName>
    <definedName name="P">#REF!</definedName>
    <definedName name="P_2" localSheetId="13">#REF!</definedName>
    <definedName name="P_2">#REF!</definedName>
    <definedName name="P_A">#REF!</definedName>
    <definedName name="P_L" localSheetId="13">#REF!</definedName>
    <definedName name="P_L">#REF!</definedName>
    <definedName name="P_M" localSheetId="13">#REF!</definedName>
    <definedName name="P_M">#REF!</definedName>
    <definedName name="P_M_AC" localSheetId="13">#REF!</definedName>
    <definedName name="P_M_AC">#REF!</definedName>
    <definedName name="P_MARVINKURVE">#REF!</definedName>
    <definedName name="P_Som">#REF!</definedName>
    <definedName name="P10.">#REF!</definedName>
    <definedName name="P11.">#REF!</definedName>
    <definedName name="P12.">#REF!</definedName>
    <definedName name="P13.">#REF!</definedName>
    <definedName name="P14.">#REF!</definedName>
    <definedName name="P15.">#REF!</definedName>
    <definedName name="p2l">#REF!</definedName>
    <definedName name="p37.">#REF!</definedName>
    <definedName name="p38.">#REF!</definedName>
    <definedName name="p39.">#REF!</definedName>
    <definedName name="p40.">#REF!</definedName>
    <definedName name="p41.">#REF!</definedName>
    <definedName name="p42.">#REF!</definedName>
    <definedName name="p43.">#REF!</definedName>
    <definedName name="p44.">#REF!</definedName>
    <definedName name="p45.">#REF!</definedName>
    <definedName name="p46.">#REF!</definedName>
    <definedName name="p47.">#REF!</definedName>
    <definedName name="p48.">#REF!</definedName>
    <definedName name="P7b">#REF!</definedName>
    <definedName name="P7M_COMP">#REF!</definedName>
    <definedName name="P8.">#REF!</definedName>
    <definedName name="P9.">#REF!</definedName>
    <definedName name="PA">#REF!</definedName>
    <definedName name="PA_DET">#REF!</definedName>
    <definedName name="PA_SCH3">#REF!</definedName>
    <definedName name="PA_SCH4_5">#REF!</definedName>
    <definedName name="PA_TXd">#REF!</definedName>
    <definedName name="Pack">#REF!</definedName>
    <definedName name="Package">#REF!</definedName>
    <definedName name="Package_ID">#REF!</definedName>
    <definedName name="PAGE" localSheetId="13">#REF!</definedName>
    <definedName name="PAGE">#REF!</definedName>
    <definedName name="Page_1">NA()</definedName>
    <definedName name="Page_2">NA()</definedName>
    <definedName name="Page_3">NA()</definedName>
    <definedName name="Page_4">NA()</definedName>
    <definedName name="Page_5">NA()</definedName>
    <definedName name="Page_6">NA()</definedName>
    <definedName name="PAGE1">#REF!</definedName>
    <definedName name="PAGE10">#REF!</definedName>
    <definedName name="PAGE11">#REF!</definedName>
    <definedName name="PAGE12">#REF!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rt">#REF!</definedName>
    <definedName name="PARTIV">#REF!</definedName>
    <definedName name="parul1">#REF!</definedName>
    <definedName name="parul2">#REF!</definedName>
    <definedName name="parul3">#REF!</definedName>
    <definedName name="parul4">#REF!</definedName>
    <definedName name="Pauline">#REF!</definedName>
    <definedName name="Pay_Date">#REF!</definedName>
    <definedName name="Pay_Num">#REF!</definedName>
    <definedName name="Payment_Date" localSheetId="13">DATE(YEAR(Loan_Start),MONTH(Loan_Start)+#REF!,DAY(Loan_Start))</definedName>
    <definedName name="Payment_Date" localSheetId="9">DATE(YEAR([0]!Loan_Start),MONTH([0]!Loan_Start)+#REF!,DAY([0]!Loan_Start))</definedName>
    <definedName name="Payment_Date">DATE(YEAR(Loan_Start),MONTH(Loan_Start)+#REF!,DAY(Loan_Start))</definedName>
    <definedName name="PAYROLL_TAX" localSheetId="13">#REF!</definedName>
    <definedName name="PAYROLL_TAX">#REF!</definedName>
    <definedName name="paystaff" localSheetId="13">#REF!</definedName>
    <definedName name="paystaff">#REF!</definedName>
    <definedName name="payworker" localSheetId="13">#REF!</definedName>
    <definedName name="payworker">#REF!</definedName>
    <definedName name="pbt">#REF!</definedName>
    <definedName name="PCD_ENG2" localSheetId="13">#REF!</definedName>
    <definedName name="PCD_ENG2">#REF!</definedName>
    <definedName name="PCSDIEBOR" localSheetId="13">#REF!</definedName>
    <definedName name="PCSDIEBOR">#REF!</definedName>
    <definedName name="PE">#REF!</definedName>
    <definedName name="PED">#REF!</definedName>
    <definedName name="penalty">#REF!</definedName>
    <definedName name="PER.PUR" localSheetId="13">#REF!</definedName>
    <definedName name="PER.PUR">#REF!</definedName>
    <definedName name="Performance_of_Jan___June_98_over_Jan___June_97" localSheetId="13">#REF!</definedName>
    <definedName name="Performance_of_Jan___June_98_over_Jan___June_97">#REF!</definedName>
    <definedName name="period">12</definedName>
    <definedName name="period_1">12</definedName>
    <definedName name="PERIODSETNAME1" localSheetId="13">#REF!</definedName>
    <definedName name="PERIODSETNAME1">#REF!</definedName>
    <definedName name="PERIODSETNAME2">#REF!</definedName>
    <definedName name="PERIODSETNAME3">#REF!</definedName>
    <definedName name="PERIODSETNAME4">#REF!</definedName>
    <definedName name="PERIODSETNAME5">#REF!</definedName>
    <definedName name="PERIODSETNAME6">#REF!</definedName>
    <definedName name="PERIODSETNAME7">#REF!</definedName>
    <definedName name="PETE">#REF!</definedName>
    <definedName name="PFHC">#REF!</definedName>
    <definedName name="PG">#REF!</definedName>
    <definedName name="Philippines_PLDT">#REF!</definedName>
    <definedName name="PIC">"Picture 1"</definedName>
    <definedName name="PICH">#REF!</definedName>
    <definedName name="Pillar_ENG_DATA">#REF!</definedName>
    <definedName name="Pillar_GA_DATA">#REF!</definedName>
    <definedName name="Pillar_MKTG_DATA">#REF!</definedName>
    <definedName name="Pillar_OPS_DATA">#REF!</definedName>
    <definedName name="PivotCategory">#REF!</definedName>
    <definedName name="PivotCategory1">#REF!</definedName>
    <definedName name="PJ_RPK" localSheetId="13">#REF!</definedName>
    <definedName name="PJ_RPK">#REF!</definedName>
    <definedName name="pjj_pa" localSheetId="13">#REF!</definedName>
    <definedName name="pjj_pa">#REF!</definedName>
    <definedName name="pk" localSheetId="13" hidden="1">{#N/A,#N/A,FALSE,"SUMMARY REPORT"}</definedName>
    <definedName name="pk" localSheetId="9" hidden="1">{#N/A,#N/A,FALSE,"SUMMARY REPORT"}</definedName>
    <definedName name="pk" hidden="1">{#N/A,#N/A,FALSE,"SUMMARY REPORT"}</definedName>
    <definedName name="pkg">#REF!</definedName>
    <definedName name="PKG_CODE">#REF!</definedName>
    <definedName name="Pkg_Mat_00_A">#REF!</definedName>
    <definedName name="Pkg_Mat_00_Q1_A">#REF!</definedName>
    <definedName name="Pkg_Mat_00_Q2_A">#REF!</definedName>
    <definedName name="Pkg_Mat_00_Q3_A">#REF!</definedName>
    <definedName name="Pkg_Mat_00_Q4_A">#REF!</definedName>
    <definedName name="Pkg_Mat_01_A">#REF!</definedName>
    <definedName name="Pkg_Mat_01_Q1_A">#REF!</definedName>
    <definedName name="Pkg_Mat_01_Q2_A">#REF!</definedName>
    <definedName name="Pkg_Mat_01_Q3_A">#REF!</definedName>
    <definedName name="Pkg_Mat_01_Q4_A">#REF!</definedName>
    <definedName name="Pkg_Mat_02_A">#REF!</definedName>
    <definedName name="Pkg_Mat_02_Q1_A">#REF!</definedName>
    <definedName name="Pkg_Mat_02_Q2_A">#REF!</definedName>
    <definedName name="Pkg_Mat_02_Q3_A">#REF!</definedName>
    <definedName name="Pkg_Mat_02_Q4_A">#REF!</definedName>
    <definedName name="Pkg_OH_00_A">#REF!</definedName>
    <definedName name="Pkg_OH_00_Q1_A">#REF!</definedName>
    <definedName name="Pkg_OH_00_Q2_A">#REF!</definedName>
    <definedName name="Pkg_OH_00_Q3_A">#REF!</definedName>
    <definedName name="Pkg_OH_00_Q4_A">#REF!</definedName>
    <definedName name="Pkg_OH_01_A">#REF!</definedName>
    <definedName name="Pkg_OH_01_Q1_A">#REF!</definedName>
    <definedName name="Pkg_OH_01_Q2_A">#REF!</definedName>
    <definedName name="Pkg_OH_01_Q3_A">#REF!</definedName>
    <definedName name="Pkg_OH_01_Q4_A">#REF!</definedName>
    <definedName name="Pkg_OH_02_A">#REF!</definedName>
    <definedName name="Pkg_OH_02_Q1_A">#REF!</definedName>
    <definedName name="Pkg_OH_02_Q2_A">#REF!</definedName>
    <definedName name="Pkg_OH_02_Q3_A">#REF!</definedName>
    <definedName name="Pkg_OH_02_Q4_A">#REF!</definedName>
    <definedName name="Pkg_OS_00">#REF!</definedName>
    <definedName name="Pkg_OS_00_Q1">#REF!</definedName>
    <definedName name="Pkg_OS_00_Q2">#REF!</definedName>
    <definedName name="Pkg_OS_00_Q3">#REF!</definedName>
    <definedName name="Pkg_OS_00_Q4">#REF!</definedName>
    <definedName name="Pkg_OS_01">#REF!</definedName>
    <definedName name="Pkg_OS_01_Q1">#REF!</definedName>
    <definedName name="Pkg_OS_01_Q2">#REF!</definedName>
    <definedName name="Pkg_OS_01_Q3">#REF!</definedName>
    <definedName name="Pkg_OS_01_Q4">#REF!</definedName>
    <definedName name="Pkg_OS_02">#REF!</definedName>
    <definedName name="Pkg_OS_02_Q1">#REF!</definedName>
    <definedName name="Pkg_OS_02_Q2">#REF!</definedName>
    <definedName name="Pkg_OS_02_Q3">#REF!</definedName>
    <definedName name="Pkg_OS_02_Q4">#REF!</definedName>
    <definedName name="PkgBrlFlow" localSheetId="13">#REF!</definedName>
    <definedName name="PkgBrlFlow">#REF!</definedName>
    <definedName name="PL" localSheetId="13">#REF!</definedName>
    <definedName name="PL">#REF!</definedName>
    <definedName name="PL_2" localSheetId="13">#REF!</definedName>
    <definedName name="PL_2">#REF!</definedName>
    <definedName name="PL_R" localSheetId="13">#REF!</definedName>
    <definedName name="PL_R">#REF!</definedName>
    <definedName name="PL_R_2" localSheetId="13">#REF!</definedName>
    <definedName name="PL_R_2">#REF!</definedName>
    <definedName name="plan1">#REF!</definedName>
    <definedName name="plan10">#REF!</definedName>
    <definedName name="plan2">#REF!</definedName>
    <definedName name="plan3">#REF!</definedName>
    <definedName name="plan4">#REF!</definedName>
    <definedName name="plan5">#REF!</definedName>
    <definedName name="plan6">#REF!</definedName>
    <definedName name="plan7">#REF!</definedName>
    <definedName name="plan8">#REF!</definedName>
    <definedName name="plan9">#REF!</definedName>
    <definedName name="Plant">#REF!</definedName>
    <definedName name="PLBS" localSheetId="13">#REF!</definedName>
    <definedName name="PLBS">#REF!</definedName>
    <definedName name="PLCR_max">#REF!</definedName>
    <definedName name="PLCR_min">#REF!</definedName>
    <definedName name="plgroup">NA()</definedName>
    <definedName name="PLHC">#REF!</definedName>
    <definedName name="plj" localSheetId="13" hidden="1">{#N/A,#N/A,FALSE,"SUMMARY REPORT"}</definedName>
    <definedName name="plj" localSheetId="9" hidden="1">{#N/A,#N/A,FALSE,"SUMMARY REPORT"}</definedName>
    <definedName name="plj" hidden="1">{#N/A,#N/A,FALSE,"SUMMARY REPORT"}</definedName>
    <definedName name="PLpp">#REF!</definedName>
    <definedName name="PLS" localSheetId="13" hidden="1">{#N/A,#N/A,FALSE,"SUMMARY REPORT"}</definedName>
    <definedName name="PLS" localSheetId="9" hidden="1">{#N/A,#N/A,FALSE,"SUMMARY REPORT"}</definedName>
    <definedName name="PLS" hidden="1">{#N/A,#N/A,FALSE,"SUMMARY REPORT"}</definedName>
    <definedName name="PLSS_DB">#REF!</definedName>
    <definedName name="PLTB">NA()</definedName>
    <definedName name="pm">#REF!</definedName>
    <definedName name="PN_PA">#REF!</definedName>
    <definedName name="PN_VT">#REF!</definedName>
    <definedName name="PNLCON">#REF!</definedName>
    <definedName name="PNLJUN">#REF!</definedName>
    <definedName name="PNLMAR">#REF!</definedName>
    <definedName name="PNO">#N/A</definedName>
    <definedName name="po" localSheetId="13" hidden="1">{#N/A,#N/A,FALSE,"SUMMARY REPORT"}</definedName>
    <definedName name="po" localSheetId="9" hidden="1">{#N/A,#N/A,FALSE,"SUMMARY REPORT"}</definedName>
    <definedName name="po" hidden="1">{#N/A,#N/A,FALSE,"SUMMARY REPORT"}</definedName>
    <definedName name="polhf" localSheetId="13" hidden="1">{#N/A,#N/A,FALSE,"SUMMARY REPORT"}</definedName>
    <definedName name="polhf" localSheetId="9" hidden="1">{#N/A,#N/A,FALSE,"SUMMARY REPORT"}</definedName>
    <definedName name="polhf" hidden="1">{#N/A,#N/A,FALSE,"SUMMARY REPORT"}</definedName>
    <definedName name="pom" localSheetId="13" hidden="1">{#N/A,#N/A,FALSE,"SUMMARY REPORT"}</definedName>
    <definedName name="pom" localSheetId="9" hidden="1">{#N/A,#N/A,FALSE,"SUMMARY REPORT"}</definedName>
    <definedName name="pom" hidden="1">{#N/A,#N/A,FALSE,"SUMMARY REPORT"}</definedName>
    <definedName name="PoolBrMgr">#REF!</definedName>
    <definedName name="PoolSalH.o">#REF!</definedName>
    <definedName name="POST">#REF!</definedName>
    <definedName name="POSTERRORSTOSUSP1">#REF!</definedName>
    <definedName name="POSTERRORSTOSUSP2">#REF!</definedName>
    <definedName name="POSTERRORSTOSUSP3">#REF!</definedName>
    <definedName name="POSTERRORSTOSUSP4">#REF!</definedName>
    <definedName name="POSTERRORSTOSUSP5">#REF!</definedName>
    <definedName name="POSTERRORSTOSUSP6">#REF!</definedName>
    <definedName name="POSTERRORSTOSUSP7">#REF!</definedName>
    <definedName name="POWER">#REF!</definedName>
    <definedName name="PP">#REF!</definedName>
    <definedName name="PPIARRAY">#REF!</definedName>
    <definedName name="PPICOUNTRY">#REF!</definedName>
    <definedName name="PPIFACT">#REF!</definedName>
    <definedName name="PPIYEAR">#REF!</definedName>
    <definedName name="PPIYEAR1">#REF!</definedName>
    <definedName name="ppp">#REF!</definedName>
    <definedName name="pptt">#REF!</definedName>
    <definedName name="PRICE">#N/A</definedName>
    <definedName name="PRICE_COST">#REF!</definedName>
    <definedName name="price97">#REF!</definedName>
    <definedName name="Princ">#REF!</definedName>
    <definedName name="PRINT">#REF!</definedName>
    <definedName name="print_all">#REF!</definedName>
    <definedName name="_xlnm.Print_Area" localSheetId="6">'13.CWIP'!$A$1:$G$28</definedName>
    <definedName name="_xlnm.Print_Area" localSheetId="13">Borrowing!$A$1:$N$33</definedName>
    <definedName name="_xlnm.Print_Area" localSheetId="0">'BS PnL'!$A$1:$G$136</definedName>
    <definedName name="_xlnm.Print_Area" localSheetId="1">'Cash Flow '!$A$1:$F$78</definedName>
    <definedName name="_xlnm.Print_Area" localSheetId="9">EBP!$A$1:$I$165</definedName>
    <definedName name="_xlnm.Print_Area" localSheetId="7">'Note (13-20)'!$A$1:$H$88</definedName>
    <definedName name="_xlnm.Print_Area" localSheetId="4">'NOTE (4-12)'!$A$1:$H$120</definedName>
    <definedName name="_xlnm.Print_Area" localSheetId="2">'Note 1-2'!$A$1:$O$159</definedName>
    <definedName name="_xlnm.Print_Area" localSheetId="5">'Note 12 (PPE)'!$A$1:$K$41</definedName>
    <definedName name="_xlnm.Print_Area" localSheetId="8">'Note 20-31'!$A$1:$E$144</definedName>
    <definedName name="_xlnm.Print_Area" localSheetId="3">'Note 3 (Share Capital)'!$A$1:$O$74</definedName>
    <definedName name="_xlnm.Print_Area" localSheetId="11">'Other Notes'!$A$1:$I$167</definedName>
    <definedName name="_xlnm.Print_Area" localSheetId="12">'Stock Reconciliation '!$A$1:$L$22</definedName>
    <definedName name="_xlnm.Print_Area">#REF!</definedName>
    <definedName name="Print_Area_MI" localSheetId="13">#REF!</definedName>
    <definedName name="Print_Area_MI">#REF!</definedName>
    <definedName name="PRINT_AREA_MI_1" localSheetId="13">#REF!</definedName>
    <definedName name="PRINT_AREA_MI_1">#REF!</definedName>
    <definedName name="Print_Area_MI_14" localSheetId="13">#REF!</definedName>
    <definedName name="Print_Area_MI_14">#REF!</definedName>
    <definedName name="Print_Area_MI_4" localSheetId="13">#REF!</definedName>
    <definedName name="Print_Area_MI_4">#REF!</definedName>
    <definedName name="PRINT_AREA_MI1" localSheetId="13">#REF!</definedName>
    <definedName name="PRINT_AREA_MI1">#REF!</definedName>
    <definedName name="Print_Area_Reset">#N/A</definedName>
    <definedName name="Print_Hotels" localSheetId="13">#REF!</definedName>
    <definedName name="Print_Hotels">#REF!</definedName>
    <definedName name="Print_normale" localSheetId="13">#REF!</definedName>
    <definedName name="Print_normale">#REF!</definedName>
    <definedName name="PRINT_SUMMARY">#REF!</definedName>
    <definedName name="_xlnm.Print_Titles" localSheetId="13">Borrowing!$1:$2</definedName>
    <definedName name="_xlnm.Print_Titles">#REF!</definedName>
    <definedName name="PRINT_TITLES_MI" localSheetId="13">#REF!</definedName>
    <definedName name="PRINT_TITLES_MI">#REF!</definedName>
    <definedName name="print1" localSheetId="13">#REF!</definedName>
    <definedName name="print1">#REF!</definedName>
    <definedName name="print2">#REF!</definedName>
    <definedName name="PRINTA">#REF!</definedName>
    <definedName name="printarea">#REF!</definedName>
    <definedName name="PRINTB" localSheetId="13">#REF!</definedName>
    <definedName name="PRINTB">#REF!</definedName>
    <definedName name="PRINTC" localSheetId="13">#REF!</definedName>
    <definedName name="PRINTC">#REF!</definedName>
    <definedName name="printer">#REF!</definedName>
    <definedName name="printing" localSheetId="13">#REF!</definedName>
    <definedName name="printing">#REF!</definedName>
    <definedName name="prior">#N/A</definedName>
    <definedName name="PriorDep" localSheetId="13">#REF!</definedName>
    <definedName name="PriorDep">#REF!</definedName>
    <definedName name="PRME" localSheetId="13">#REF!</definedName>
    <definedName name="PRME">#REF!</definedName>
    <definedName name="probe">#REF!</definedName>
    <definedName name="Probe_Cost_Table_A" localSheetId="13">#REF!</definedName>
    <definedName name="Probe_Cost_Table_A">#REF!</definedName>
    <definedName name="process">#REF!</definedName>
    <definedName name="Process_Status" localSheetId="13">#REF!</definedName>
    <definedName name="Process_Status">#REF!</definedName>
    <definedName name="Prod" localSheetId="13">#REF!</definedName>
    <definedName name="Prod">#REF!</definedName>
    <definedName name="prodde" localSheetId="13">#REF!</definedName>
    <definedName name="prodde">#REF!</definedName>
    <definedName name="ProdForm" localSheetId="9" hidden="1">#REF!</definedName>
    <definedName name="ProdForm" hidden="1">#REF!</definedName>
    <definedName name="Prodline">#REF!</definedName>
    <definedName name="PRODSUM1" localSheetId="13">#REF!</definedName>
    <definedName name="PRODSUM1">#REF!</definedName>
    <definedName name="PRODUC1" localSheetId="13">#REF!</definedName>
    <definedName name="PRODUC1">#REF!</definedName>
    <definedName name="Product" localSheetId="13" hidden="1">#REF!</definedName>
    <definedName name="Product" localSheetId="9" hidden="1">#REF!</definedName>
    <definedName name="Product" hidden="1">#REF!</definedName>
    <definedName name="PROF_TAX">#REF!</definedName>
    <definedName name="profit">#REF!</definedName>
    <definedName name="Profit\Loss" localSheetId="9">"#REF!"</definedName>
    <definedName name="Profit\Loss">#REF!</definedName>
    <definedName name="PROFIT___LOSS_ACCOUNT_DATA">#REF!</definedName>
    <definedName name="profit_center">#REF!</definedName>
    <definedName name="Profit_Loss" localSheetId="13">#REF!</definedName>
    <definedName name="Profit_Loss">#REF!</definedName>
    <definedName name="PROFITLOSSGROUPING">NA()</definedName>
    <definedName name="Project_IRR">#REF!</definedName>
    <definedName name="PROJECT_NAME">#REF!</definedName>
    <definedName name="Projects">#REF!</definedName>
    <definedName name="ProjName">#REF!</definedName>
    <definedName name="PROPOSAL">#REF!</definedName>
    <definedName name="provision">#REF!</definedName>
    <definedName name="PrtMajMaint">#REF!</definedName>
    <definedName name="PrtOffsite">#REF!</definedName>
    <definedName name="PrtPrecomm">#REF!</definedName>
    <definedName name="PrtSetup">#REF!</definedName>
    <definedName name="PT_Duong">#REF!</definedName>
    <definedName name="Ptas">#REF!</definedName>
    <definedName name="ptdg">#REF!</definedName>
    <definedName name="PTDG_cau">#REF!</definedName>
    <definedName name="ptdg_cong">#REF!</definedName>
    <definedName name="ptdg_duong">#REF!</definedName>
    <definedName name="PUB">#REF!</definedName>
    <definedName name="purchase">#REF!</definedName>
    <definedName name="Purchasing">#REF!</definedName>
    <definedName name="PV">#REF!</definedName>
    <definedName name="PVT_P_L_ABS">#REF!</definedName>
    <definedName name="PWHT">#REF!</definedName>
    <definedName name="pxp" localSheetId="13" hidden="1">{#N/A,#N/A,FALSE,"SUMMARY REPORT"}</definedName>
    <definedName name="pxp" localSheetId="9" hidden="1">{#N/A,#N/A,FALSE,"SUMMARY REPORT"}</definedName>
    <definedName name="pxp" hidden="1">{#N/A,#N/A,FALSE,"SUMMARY REPORT"}</definedName>
    <definedName name="py">#REF!</definedName>
    <definedName name="Q" localSheetId="13">#REF!</definedName>
    <definedName name="Q" localSheetId="9">#REF!</definedName>
    <definedName name="Q">#REF!</definedName>
    <definedName name="Q_A4縦">#N/A</definedName>
    <definedName name="Q3Vol" localSheetId="13">#REF!</definedName>
    <definedName name="Q3Vol">#REF!</definedName>
    <definedName name="Q4RP">#REF!</definedName>
    <definedName name="QASSX" localSheetId="13" hidden="1">{#N/A,#N/A,FALSE,"SUMMARY REPORT"}</definedName>
    <definedName name="QASSX" localSheetId="9" hidden="1">{#N/A,#N/A,FALSE,"SUMMARY REPORT"}</definedName>
    <definedName name="QASSX" hidden="1">{#N/A,#N/A,FALSE,"SUMMARY REPORT"}</definedName>
    <definedName name="QCJ">#REF!</definedName>
    <definedName name="qe" localSheetId="13" hidden="1">{#N/A,#N/A,FALSE,"SUMMARY REPORT"}</definedName>
    <definedName name="qe" localSheetId="9" hidden="1">{#N/A,#N/A,FALSE,"SUMMARY REPORT"}</definedName>
    <definedName name="qe" hidden="1">{#N/A,#N/A,FALSE,"SUMMARY REPORT"}</definedName>
    <definedName name="QEWR" localSheetId="13" hidden="1">{"Network Summary",#N/A,TRUE,"Summary";"Piping Summary",#N/A,TRUE," Piping";"Meters Summary",#N/A,TRUE,"Meters &amp; Connections";"Connections Summary",#N/A,TRUE,"Meters &amp; Connections";"Stations Summary",#N/A,TRUE,"Stations Pivot"}</definedName>
    <definedName name="QEWR" localSheetId="9" hidden="1">{"Network Summary",#N/A,TRUE,"Summary";"Piping Summary",#N/A,TRUE," Piping";"Meters Summary",#N/A,TRUE,"Meters &amp; Connections";"Connections Summary",#N/A,TRUE,"Meters &amp; Connections";"Stations Summary",#N/A,TRUE,"Stations Pivot"}</definedName>
    <definedName name="QEWR" hidden="1">{"Network Summary",#N/A,TRUE,"Summary";"Piping Summary",#N/A,TRUE," Piping";"Meters Summary",#N/A,TRUE,"Meters &amp; Connections";"Connections Summary",#N/A,TRUE,"Meters &amp; Connections";"Stations Summary",#N/A,TRUE,"Stations Pivot"}</definedName>
    <definedName name="QP_S">#REF!</definedName>
    <definedName name="QQ" localSheetId="13" hidden="1">{#N/A,#N/A,TRUE,"일정"}</definedName>
    <definedName name="QQ" localSheetId="9" hidden="1">{#N/A,#N/A,TRUE,"일정"}</definedName>
    <definedName name="QQ" hidden="1">{#N/A,#N/A,TRUE,"일정"}</definedName>
    <definedName name="qregt3yg">#REF!</definedName>
    <definedName name="qs" localSheetId="13" hidden="1">{#N/A,#N/A,FALSE,"SUMMARY REPORT"}</definedName>
    <definedName name="qs" localSheetId="9" hidden="1">{#N/A,#N/A,FALSE,"SUMMARY REPORT"}</definedName>
    <definedName name="qs" hidden="1">{#N/A,#N/A,FALSE,"SUMMARY REPORT"}</definedName>
    <definedName name="qsc" localSheetId="13" hidden="1">{#N/A,#N/A,FALSE,"SUMMARY REPORT"}</definedName>
    <definedName name="qsc" localSheetId="9" hidden="1">{#N/A,#N/A,FALSE,"SUMMARY REPORT"}</definedName>
    <definedName name="qsc" hidden="1">{#N/A,#N/A,FALSE,"SUMMARY REPORT"}</definedName>
    <definedName name="qt" localSheetId="13" hidden="1">{"'Sheet1'!$L$16"}</definedName>
    <definedName name="qt" localSheetId="9" hidden="1">{"'Sheet1'!$L$16"}</definedName>
    <definedName name="qt" hidden="1">{"'Sheet1'!$L$16"}</definedName>
    <definedName name="qtdm">#REF!</definedName>
    <definedName name="QUARTER1">#REF!</definedName>
    <definedName name="QUARTER2">#REF!</definedName>
    <definedName name="QUARTER3">#REF!</definedName>
    <definedName name="QUARTER4">#REF!</definedName>
    <definedName name="QUERY1.keep_password" hidden="1">TRUE</definedName>
    <definedName name="QUERY1.query_connection" localSheetId="13" hidden="1">{"DBQ=C:\Access\Theatres.mdb;DefaultDir=C:\Access;Driver={Microsoft Access Driver (*.mdb)};DriverId=25;FIL=MS Access;ImplicitCommitSync=Yes;MaxBufferSize=512;MaxScanRows=8;PageTimeout=5;SafeTransactions=0;Threads=3;UID=admin;UserCommitSync=Yes;"}</definedName>
    <definedName name="QUERY1.query_connection" localSheetId="9" hidden="1">{"DBQ=C:\Access\Theatres.mdb;DefaultDir=C:\Access;Driver={Microsoft Access Driver (*.mdb)};DriverId=25;FIL=MS Access;ImplicitCommitSync=Yes;MaxBufferSize=512;MaxScanRows=8;PageTimeout=5;SafeTransactions=0;Threads=3;UID=admin;UserCommitSync=Yes;"}</definedName>
    <definedName name="QUERY1.query_connection" hidden="1">{"DBQ=C:\Access\Theatres.mdb;DefaultDir=C:\Access;Driver={Microsoft Access Driver (*.mdb)};DriverId=25;FIL=MS Access;ImplicitCommitSync=Yes;MaxBufferSize=512;MaxScanRows=8;PageTimeout=5;SafeTransactions=0;Threads=3;UID=admin;UserCommitSync=Yes;"}</definedName>
    <definedName name="QUERY1.query_definition" localSheetId="13"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definition" localSheetId="9"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definition"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options" localSheetId="13" hidden="1">{TRUE;FALSE}</definedName>
    <definedName name="QUERY1.query_options" localSheetId="9" hidden="1">{TRUE;FALSE}</definedName>
    <definedName name="QUERY1.query_options" hidden="1">{TRUE;FALSE}</definedName>
    <definedName name="QUERY1.query_statement" localSheetId="13"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statement" localSheetId="9"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query_statement" hidden="1">{"SELECT MasterTHrTable.`Theatre #`, MasterTHrTable.`Theatre Name`, MasterTHrTable.Loc, MasterTHrTable.Scr, MasterTHrTable.Budget_2003, MasterTHrTable.`5Yr Plan`, MasterTHrTable.Category_2003B, MasterTHrTable.`Open or Close Date`, M";"asterTHrTable.`Open or Close Date2`, MasterTHrTable.`Group`, MasterTHrTable.`Type Index`, MasterTHrTable.Type, MasterTHrTable.Notes, MasterTHrTable.Restructruing, MasterTHrTable.BudgetedFor, MasterTHrTable.`Planned restructuring d";"ate`, MasterTHrTable.`Restructruing Notes`, MasterTHrTable.OriginalRegion, MasterTHrTable.Region, MasterTHrTable.`Region Index`, MasterTHrTable.District, MasterTHrTable.DistrictRevised, MasterTHrTable.DistrictIndex, MasterTHrTable";".Address1, MasterTHrTable.Address2, MasterTHrTable.City, MasterTHrTable.Province, MasterTHrTable.`Postal Code`, MasterTHrTable.Phone, MasterTHrTable.Fax, MasterTHrTable.`GENERAL MANAGER`, MasterTHrTable.DriveIn, MasterTHrTable.Sea";"ts, MasterTHrTable.`Freestanding/Attached`, MasterTHrTable.`Ownership type`, MasterTHrTable.GrossLeasableArea, MasterTHrTable.Hydro, MasterTHrTable.Gas, MasterTHrTable.Water, MasterTHrTable.Stadium, MasterTHrTable.CCAA_Disposals  ";"FROM `C:\Access\Theatres`.MasterTHrTable MasterTHrTable"}</definedName>
    <definedName name="QUERY1.user_name" hidden="1">"admin"</definedName>
    <definedName name="quickfield">#REF!</definedName>
    <definedName name="qwe">#REF!</definedName>
    <definedName name="qwerrt">#REF!</definedName>
    <definedName name="R_A4横">#REF!</definedName>
    <definedName name="R_CHARAVARTHI">#REF!</definedName>
    <definedName name="R_Factor">#REF!</definedName>
    <definedName name="R_Pathania">#REF!</definedName>
    <definedName name="ra" localSheetId="13" hidden="1">{#N/A,#N/A,FALSE,"SUMMARY REPORT"}</definedName>
    <definedName name="ra" localSheetId="9" hidden="1">{#N/A,#N/A,FALSE,"SUMMARY REPORT"}</definedName>
    <definedName name="ra" hidden="1">{#N/A,#N/A,FALSE,"SUMMARY REPORT"}</definedName>
    <definedName name="RAEYAEY">#REF!</definedName>
    <definedName name="rahul" localSheetId="13">#REF!</definedName>
    <definedName name="rahul">#REF!</definedName>
    <definedName name="rajehi" localSheetId="13" hidden="1">{#N/A,#N/A,FALSE,"SUMMARY REPORT"}</definedName>
    <definedName name="rajehi" localSheetId="9" hidden="1">{#N/A,#N/A,FALSE,"SUMMARY REPORT"}</definedName>
    <definedName name="rajehi" hidden="1">{#N/A,#N/A,FALSE,"SUMMARY REPORT"}</definedName>
    <definedName name="rama" localSheetId="13" hidden="1">{"'August 2000'!$A$1:$J$101"}</definedName>
    <definedName name="rama" localSheetId="9" hidden="1">{"'August 2000'!$A$1:$J$101"}</definedName>
    <definedName name="rama" hidden="1">{"'August 2000'!$A$1:$J$101"}</definedName>
    <definedName name="ramya">#REF!</definedName>
    <definedName name="range1">#REF!</definedName>
    <definedName name="range2">#REF!</definedName>
    <definedName name="Rangeadj">#REF!</definedName>
    <definedName name="rate">#REF!</definedName>
    <definedName name="RawData">#REF!</definedName>
    <definedName name="rawmaterial">#REF!</definedName>
    <definedName name="RAZOR1">#REF!</definedName>
    <definedName name="RCArea" hidden="1">#REF!</definedName>
    <definedName name="RCNBASIS">#REF!</definedName>
    <definedName name="RCNLD">#REF!</definedName>
    <definedName name="RCNTRE">#REF!</definedName>
    <definedName name="RD">#REF!</definedName>
    <definedName name="rdate" localSheetId="13">#REF!</definedName>
    <definedName name="rdate">#REF!</definedName>
    <definedName name="RDHC">#REF!</definedName>
    <definedName name="rdteqt">#REF!</definedName>
    <definedName name="rdterm">#REF!</definedName>
    <definedName name="re" localSheetId="13" hidden="1">{#N/A,#N/A,FALSE,"SUMMARY REPORT"}</definedName>
    <definedName name="re" localSheetId="9" hidden="1">{#N/A,#N/A,FALSE,"SUMMARY REPORT"}</definedName>
    <definedName name="re" hidden="1">{#N/A,#N/A,FALSE,"SUMMARY REPORT"}</definedName>
    <definedName name="reco">#REF!</definedName>
    <definedName name="Record1">#REF!</definedName>
    <definedName name="Record2">#REF!</definedName>
    <definedName name="Record3">#REF!</definedName>
    <definedName name="_xlnm.Recorder" localSheetId="13">#REF!</definedName>
    <definedName name="_xlnm.Recorder">#REF!</definedName>
    <definedName name="RED_RIVER_BRIDGE__THANH_TRI_BRIDGE__CONSTRUCTION_PROJECT" localSheetId="13">#REF!</definedName>
    <definedName name="RED_RIVER_BRIDGE__THANH_TRI_BRIDGE__CONSTRUCTION_PROJECT">#REF!</definedName>
    <definedName name="ref" localSheetId="13">#REF!</definedName>
    <definedName name="ref">#REF!</definedName>
    <definedName name="RegenCost">#REF!</definedName>
    <definedName name="Reinvest">#REF!</definedName>
    <definedName name="relas" localSheetId="13" hidden="1">{"DJH3",#N/A,FALSE,"PFL00805";"PJB3",#N/A,FALSE,"PFL00805";"JMD3",#N/A,FALSE,"PFL00805";"DNB3",#N/A,FALSE,"PFL00805";"MJP3",#N/A,FALSE,"PFL00805";"RAB3",#N/A,FALSE,"PFL00805";"GJW3",#N/A,FALSE,"PFL00805";"MASTER3",#N/A,FALSE,"PFL00805"}</definedName>
    <definedName name="relas" localSheetId="9"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13" hidden="1">{"DJH3",#N/A,FALSE,"PFL00805";"PJB3",#N/A,FALSE,"PFL00805";"JMD3",#N/A,FALSE,"PFL00805";"DNB3",#N/A,FALSE,"PFL00805";"MJP3",#N/A,FALSE,"PFL00805";"RAB3",#N/A,FALSE,"PFL00805";"GJW3",#N/A,FALSE,"PFL00805";"MASTER3",#N/A,FALSE,"PFL00805"}</definedName>
    <definedName name="related" localSheetId="9"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yed" localSheetId="13" hidden="1">{"DJH3",#N/A,FALSE,"PFL00805";"PJB3",#N/A,FALSE,"PFL00805";"JMD3",#N/A,FALSE,"PFL00805";"DNB3",#N/A,FALSE,"PFL00805";"MJP3",#N/A,FALSE,"PFL00805";"RAB3",#N/A,FALSE,"PFL00805";"GJW3",#N/A,FALSE,"PFL00805";"MASTER3",#N/A,FALSE,"PFL00805"}</definedName>
    <definedName name="relayed" localSheetId="9"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N">#REF!</definedName>
    <definedName name="RENT" localSheetId="13">#REF!</definedName>
    <definedName name="RENT">#REF!</definedName>
    <definedName name="REO" localSheetId="13">#REF!</definedName>
    <definedName name="REO">#REF!</definedName>
    <definedName name="REP" localSheetId="13">#REF!</definedName>
    <definedName name="REP">#REF!</definedName>
    <definedName name="REP_2" localSheetId="13">#REF!</definedName>
    <definedName name="REP_2">#REF!</definedName>
    <definedName name="Rep_Cur" localSheetId="13">#REF!</definedName>
    <definedName name="Rep_Cur">#REF!</definedName>
    <definedName name="repair">#REF!</definedName>
    <definedName name="REPAIRS">#REF!</definedName>
    <definedName name="Report">#REF!</definedName>
    <definedName name="ReportTitle1" localSheetId="13">#REF!</definedName>
    <definedName name="ReportTitle1">#REF!</definedName>
    <definedName name="rerere" localSheetId="13" hidden="1">{"DJH3",#N/A,FALSE,"PFL00805";"PJB3",#N/A,FALSE,"PFL00805";"JMD3",#N/A,FALSE,"PFL00805";"DNB3",#N/A,FALSE,"PFL00805";"MJP3",#N/A,FALSE,"PFL00805";"RAB3",#N/A,FALSE,"PFL00805";"GJW3",#N/A,FALSE,"PFL00805";"MASTER3",#N/A,FALSE,"PFL00805"}</definedName>
    <definedName name="rerere" localSheetId="9"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SERVE">#REF!</definedName>
    <definedName name="Residual_difference">#REF!</definedName>
    <definedName name="RESPONSIBILITYAPPLICATIONID1">#REF!</definedName>
    <definedName name="RESPONSIBILITYAPPLICATIONID2">#REF!</definedName>
    <definedName name="RESPONSIBILITYAPPLICATIONID3">#REF!</definedName>
    <definedName name="RESPONSIBILITYAPPLICATIONID4">#REF!</definedName>
    <definedName name="RESPONSIBILITYAPPLICATIONID5">#REF!</definedName>
    <definedName name="RESPONSIBILITYAPPLICATIONID6">#REF!</definedName>
    <definedName name="RESPONSIBILITYAPPLICATIONID7">#REF!</definedName>
    <definedName name="RESPONSIBILITYID1">#REF!</definedName>
    <definedName name="RESPONSIBILITYID2">#REF!</definedName>
    <definedName name="RESPONSIBILITYID3">#REF!</definedName>
    <definedName name="RESPONSIBILITYID4">#REF!</definedName>
    <definedName name="RESPONSIBILITYID5">#REF!</definedName>
    <definedName name="RESPONSIBILITYID6">#REF!</definedName>
    <definedName name="RESPONSIBILITYID7">#REF!</definedName>
    <definedName name="RESPONSIBILITYNAME1">#REF!</definedName>
    <definedName name="RESPONSIBILITYNAME2">#REF!</definedName>
    <definedName name="RESPONSIBILITYNAME3">#REF!</definedName>
    <definedName name="RESPONSIBILITYNAME4">#REF!</definedName>
    <definedName name="RESPONSIBILITYNAME5">#REF!</definedName>
    <definedName name="RESPONSIBILITYNAME6">#REF!</definedName>
    <definedName name="RESPONSIBILITYNAME7">#REF!</definedName>
    <definedName name="RESULT">#REF!</definedName>
    <definedName name="ResumeSource">#REF!</definedName>
    <definedName name="return">#N/A</definedName>
    <definedName name="return1" localSheetId="13">nopat1/#REF!</definedName>
    <definedName name="return1" localSheetId="9">nopat1/#REF!</definedName>
    <definedName name="return1">nopat1/#REF!</definedName>
    <definedName name="REV">#REF!</definedName>
    <definedName name="Rev_Std_Mix" localSheetId="13">#REF!</definedName>
    <definedName name="Rev_Std_Mix">#REF!</definedName>
    <definedName name="REVENUE">#REF!</definedName>
    <definedName name="RevLine">#REF!</definedName>
    <definedName name="RevYee">#REF!</definedName>
    <definedName name="rew" localSheetId="13" hidden="1">{#N/A,#N/A,FALSE,"SUMMARY REPORT"}</definedName>
    <definedName name="rew" localSheetId="9" hidden="1">{#N/A,#N/A,FALSE,"SUMMARY REPORT"}</definedName>
    <definedName name="rew" hidden="1">{#N/A,#N/A,FALSE,"SUMMARY REPORT"}</definedName>
    <definedName name="rewf" localSheetId="13" hidden="1">{#N/A,#N/A,FALSE,"SUMMARY REPORT"}</definedName>
    <definedName name="rewf" localSheetId="9" hidden="1">{#N/A,#N/A,FALSE,"SUMMARY REPORT"}</definedName>
    <definedName name="rewf" hidden="1">{#N/A,#N/A,FALSE,"SUMMARY REPORT"}</definedName>
    <definedName name="Rf">#REF!</definedName>
    <definedName name="RFHC">#REF!</definedName>
    <definedName name="rint" localSheetId="13">#REF!</definedName>
    <definedName name="rint">#REF!</definedName>
    <definedName name="Risk_Free" localSheetId="13">#REF!</definedName>
    <definedName name="Risk_Free">#REF!</definedName>
    <definedName name="Risk_Premium" localSheetId="13">#REF!</definedName>
    <definedName name="Risk_Premium">#REF!</definedName>
    <definedName name="RM">#REF!</definedName>
    <definedName name="RM_Cost">#REF!</definedName>
    <definedName name="RMHS" localSheetId="9">#REF!</definedName>
    <definedName name="RMHS">#REF!</definedName>
    <definedName name="RO?">#REF!</definedName>
    <definedName name="ROA">#REF!</definedName>
    <definedName name="robin" localSheetId="13" hidden="1">{#N/A,#N/A,FALSE,"196126-0690";#N/A,#N/A,FALSE,"196126-0690";#N/A,#N/A,FALSE,"1961165-0201"}</definedName>
    <definedName name="robin" localSheetId="9" hidden="1">{#N/A,#N/A,FALSE,"196126-0690";#N/A,#N/A,FALSE,"196126-0690";#N/A,#N/A,FALSE,"1961165-0201"}</definedName>
    <definedName name="robin" hidden="1">{#N/A,#N/A,FALSE,"196126-0690";#N/A,#N/A,FALSE,"196126-0690";#N/A,#N/A,FALSE,"1961165-0201"}</definedName>
    <definedName name="RODMST">#REF!</definedName>
    <definedName name="ROE">#REF!</definedName>
    <definedName name="rohig" localSheetId="13" hidden="1">{#N/A,#N/A,TRUE,"Staffnos &amp; cost"}</definedName>
    <definedName name="rohig" localSheetId="9" hidden="1">{#N/A,#N/A,TRUE,"Staffnos &amp; cost"}</definedName>
    <definedName name="rohig" hidden="1">{#N/A,#N/A,TRUE,"Staffnos &amp; cost"}</definedName>
    <definedName name="Round">1</definedName>
    <definedName name="Round_1">1</definedName>
    <definedName name="RowDetails1">#REF!</definedName>
    <definedName name="ROWSTOUPLOAD1">#REF!</definedName>
    <definedName name="ROWSTOUPLOAD2">#REF!</definedName>
    <definedName name="ROWSTOUPLOAD3">#REF!</definedName>
    <definedName name="ROWSTOUPLOAD4">#REF!</definedName>
    <definedName name="ROWSTOUPLOAD5">#REF!</definedName>
    <definedName name="ROWSTOUPLOAD6">#REF!</definedName>
    <definedName name="ROWSTOUPLOAD7">#REF!</definedName>
    <definedName name="RPK_PA">#REF!</definedName>
    <definedName name="rr" localSheetId="13" hidden="1">{#N/A,#N/A,FALSE,"Aging Summary";#N/A,#N/A,FALSE,"Ratio Analysis";#N/A,#N/A,FALSE,"Test 120 Day Accts";#N/A,#N/A,FALSE,"Tickmarks"}</definedName>
    <definedName name="rr" localSheetId="9" hidden="1">{#N/A,#N/A,FALSE,"Aging Summary";#N/A,#N/A,FALSE,"Ratio Analysis";#N/A,#N/A,FALSE,"Test 120 Day Accts";#N/A,#N/A,FALSE,"Tickmarks"}</definedName>
    <definedName name="rr" hidden="1">{#N/A,#N/A,FALSE,"Aging Summary";#N/A,#N/A,FALSE,"Ratio Analysis";#N/A,#N/A,FALSE,"Test 120 Day Accts";#N/A,#N/A,FALSE,"Tickmarks"}</definedName>
    <definedName name="rradj" localSheetId="13">nopatadj/capitaladj</definedName>
    <definedName name="rradj" localSheetId="9">[0]!nopatadj/[0]!capitaladj</definedName>
    <definedName name="rradj">nopatadj/capitaladj</definedName>
    <definedName name="rrrrrrrrrrrrr" localSheetId="13" hidden="1">{"F1 PAGE 1",#N/A,FALSE,"F1";"F1 PAGE 2",#N/A,FALSE,"F1"}</definedName>
    <definedName name="rrrrrrrrrrrrr" localSheetId="9" hidden="1">{"F1 PAGE 1",#N/A,FALSE,"F1";"F1 PAGE 2",#N/A,FALSE,"F1"}</definedName>
    <definedName name="rrrrrrrrrrrrr" hidden="1">{"F1 PAGE 1",#N/A,FALSE,"F1";"F1 PAGE 2",#N/A,FALSE,"F1"}</definedName>
    <definedName name="rsaya">#REF!</definedName>
    <definedName name="RSDF" localSheetId="13">#REF!</definedName>
    <definedName name="RSDF">#REF!</definedName>
    <definedName name="RT">#REF!</definedName>
    <definedName name="rtert">#REF!</definedName>
    <definedName name="RTHREE">#REF!</definedName>
    <definedName name="RTWO">#REF!</definedName>
    <definedName name="RTY" localSheetId="13" hidden="1">{#N/A,#N/A,FALSE,"196126-0690";#N/A,#N/A,FALSE,"196126-0690";#N/A,#N/A,FALSE,"1961165-0201"}</definedName>
    <definedName name="RTY" localSheetId="9" hidden="1">{#N/A,#N/A,FALSE,"196126-0690";#N/A,#N/A,FALSE,"196126-0690";#N/A,#N/A,FALSE,"1961165-0201"}</definedName>
    <definedName name="RTY" hidden="1">{#N/A,#N/A,FALSE,"196126-0690";#N/A,#N/A,FALSE,"196126-0690";#N/A,#N/A,FALSE,"1961165-0201"}</definedName>
    <definedName name="ruchir">#REF!</definedName>
    <definedName name="RUL">#REF!</definedName>
    <definedName name="RULLookup">#REF!</definedName>
    <definedName name="RULR2">#REF!</definedName>
    <definedName name="RunDate" localSheetId="13">#REF!</definedName>
    <definedName name="RunDate">#REF!</definedName>
    <definedName name="RunName" localSheetId="13">#REF!</definedName>
    <definedName name="RunName">#REF!</definedName>
    <definedName name="RV_TM" localSheetId="13">#REF!</definedName>
    <definedName name="RV_TM">#REF!</definedName>
    <definedName name="ry">#REF!</definedName>
    <definedName name="S" localSheetId="13">#REF!</definedName>
    <definedName name="S">#REF!</definedName>
    <definedName name="S_21" localSheetId="13">#REF!</definedName>
    <definedName name="S_21">#REF!</definedName>
    <definedName name="S_3L" localSheetId="13">#REF!</definedName>
    <definedName name="S_3L">#REF!</definedName>
    <definedName name="S_Adjust" localSheetId="13">#REF!</definedName>
    <definedName name="S_Adjust">#REF!</definedName>
    <definedName name="S_Adjust_Data" localSheetId="13">#REF!</definedName>
    <definedName name="S_Adjust_Data">#REF!</definedName>
    <definedName name="S_Adjust_GT" localSheetId="13">#REF!</definedName>
    <definedName name="S_Adjust_GT">#REF!</definedName>
    <definedName name="S_AJE_Tot" localSheetId="13">#REF!</definedName>
    <definedName name="S_AJE_Tot">#REF!</definedName>
    <definedName name="S_AJE_Tot_Data" localSheetId="13">#REF!</definedName>
    <definedName name="S_AJE_Tot_Data">#REF!</definedName>
    <definedName name="S_AJE_Tot_GT" localSheetId="13">#REF!</definedName>
    <definedName name="S_AJE_Tot_GT">#REF!</definedName>
    <definedName name="S_B4縦" localSheetId="13">#REF!</definedName>
    <definedName name="S_B4縦">#REF!</definedName>
    <definedName name="S_CompNum">#REF!</definedName>
    <definedName name="S_CY_Beg_Data">#REF!</definedName>
    <definedName name="S_CY_End">#REF!</definedName>
    <definedName name="S_CY_End_Data" localSheetId="13">#REF!</definedName>
    <definedName name="S_CY_End_Data">#REF!</definedName>
    <definedName name="S_CY_End_GT">#REF!</definedName>
    <definedName name="S_Diff_Amt">#REF!</definedName>
    <definedName name="S_Diff_Pct">#REF!</definedName>
    <definedName name="S_Dogra" localSheetId="13">#REF!</definedName>
    <definedName name="S_Dogra">#REF!</definedName>
    <definedName name="S_Gentela" localSheetId="13">#REF!</definedName>
    <definedName name="S_Gentela">#REF!</definedName>
    <definedName name="S_GrpNum" localSheetId="13">#REF!</definedName>
    <definedName name="S_GrpNum">#REF!</definedName>
    <definedName name="S_KeyValue" localSheetId="13">#REF!</definedName>
    <definedName name="S_KeyValue">#REF!</definedName>
    <definedName name="S_Negi" localSheetId="13">#REF!</definedName>
    <definedName name="S_Negi">#REF!</definedName>
    <definedName name="S_Pal" localSheetId="13">#REF!</definedName>
    <definedName name="S_Pal">#REF!</definedName>
    <definedName name="S_PY_End" localSheetId="13">#REF!</definedName>
    <definedName name="S_PY_End">#REF!</definedName>
    <definedName name="S_PY_End_Data" localSheetId="13">#REF!</definedName>
    <definedName name="S_PY_End_Data">#REF!</definedName>
    <definedName name="S_PY_End_GT" localSheetId="13">#REF!</definedName>
    <definedName name="S_PY_End_GT">#REF!</definedName>
    <definedName name="S_RJE_Tot" localSheetId="13">#REF!</definedName>
    <definedName name="S_RJE_Tot">#REF!</definedName>
    <definedName name="S_RJE_Tot_Data" localSheetId="13">#REF!</definedName>
    <definedName name="S_RJE_Tot_Data">#REF!</definedName>
    <definedName name="S_RJE_Tot_GT" localSheetId="13">#REF!</definedName>
    <definedName name="S_RJE_Tot_GT">#REF!</definedName>
    <definedName name="S21DEVICES" localSheetId="13">#REF!</definedName>
    <definedName name="S21DEVICES">#REF!</definedName>
    <definedName name="S21SPU" localSheetId="13">#REF!</definedName>
    <definedName name="S21SPU">#REF!</definedName>
    <definedName name="sa" localSheetId="13">#REF!</definedName>
    <definedName name="sa">#REF!</definedName>
    <definedName name="SA_PA" localSheetId="13">#REF!</definedName>
    <definedName name="SA_PA">#REF!</definedName>
    <definedName name="SAFARI">#REF!</definedName>
    <definedName name="SAL" localSheetId="13">#REF!</definedName>
    <definedName name="SAL">#REF!</definedName>
    <definedName name="SAL299_FULL" localSheetId="13">#REF!</definedName>
    <definedName name="SAL299_FULL">#REF!</definedName>
    <definedName name="Salary_Expenses" localSheetId="13">#REF!</definedName>
    <definedName name="Salary_Expenses">#REF!</definedName>
    <definedName name="saldera">#REF!</definedName>
    <definedName name="SALE">#REF!</definedName>
    <definedName name="SALE1">#REF!</definedName>
    <definedName name="salede">#REF!</definedName>
    <definedName name="saledis0">#REF!</definedName>
    <definedName name="salep2">#REF!</definedName>
    <definedName name="saleprep">#REF!</definedName>
    <definedName name="sales" localSheetId="13" hidden="1">{TRUE,FALSE,-1.25,-15.5,484.5,293.25,FALSE,TRUE,TRUE,TRUE,0,1,3,329,#N/A,1,21.8823529411765,2,TRUE,FALSE,3,TRUE,1,TRUE,100,"Swvu.a.","ACwvu.a.",#N/A,FALSE,FALSE,0.1,2.66,1.35,0,2,"","",TRUE,FALSE,FALSE,TRUE,1,87,#N/A,#N/A,"=R354C1:R476C10",FALSE,FALSE,FALSE,FALSE,FALSE,FALSE,5,300,300,FALSE,FALSE,TRUE,TRUE,TRUE}</definedName>
    <definedName name="sales" localSheetId="9" hidden="1">{TRUE,FALSE,-1.25,-15.5,484.5,293.25,FALSE,TRUE,TRUE,TRUE,0,1,3,329,#N/A,1,21.8823529411765,2,TRUE,FALSE,3,TRUE,1,TRUE,100,"Swvu.a.","ACwvu.a.",#N/A,FALSE,FALSE,0.1,2.66,1.35,0,2,"","",TRUE,FALSE,FALSE,TRUE,1,87,#N/A,#N/A,"=R354C1:R476C10",FALSE,FALSE,FALSE,FALSE,FALSE,FALSE,5,300,300,FALSE,FALSE,TRUE,TRUE,TRUE}</definedName>
    <definedName name="sales" hidden="1">{TRUE,FALSE,-1.25,-15.5,484.5,293.25,FALSE,TRUE,TRUE,TRUE,0,1,3,329,#N/A,1,21.8823529411765,2,TRUE,FALSE,3,TRUE,1,TRUE,100,"Swvu.a.","ACwvu.a.",#N/A,FALSE,FALSE,0.1,2.66,1.35,0,2,"","",TRUE,FALSE,FALSE,TRUE,1,87,#N/A,#N/A,"=R354C1:R476C10",FALSE,FALSE,FALSE,FALSE,FALSE,FALSE,5,300,300,FALSE,FALSE,TRUE,TRUE,TRUE}</definedName>
    <definedName name="Sales_Realisations">#REF!</definedName>
    <definedName name="Sales_Var_Output">#REF!</definedName>
    <definedName name="Sales1">#REF!</definedName>
    <definedName name="sales97">#REF!</definedName>
    <definedName name="Salesbreak">#REF!</definedName>
    <definedName name="salesen">#REF!</definedName>
    <definedName name="Salesmgmt">#REF!</definedName>
    <definedName name="salv">#REF!</definedName>
    <definedName name="salva">#REF!</definedName>
    <definedName name="Salvage">#REF!</definedName>
    <definedName name="SAN">#REF!</definedName>
    <definedName name="SanDiego">#REF!</definedName>
    <definedName name="SANGEETA_PAL" localSheetId="13">#REF!</definedName>
    <definedName name="SANGEETA_PAL">#REF!</definedName>
    <definedName name="SAPBEXrevision" hidden="1">3</definedName>
    <definedName name="SAPBEXsysID" hidden="1">"BAP"</definedName>
    <definedName name="SAPBEXwbID" hidden="1">"40BUNZCZTCQHDPD636A8ETFK3"</definedName>
    <definedName name="sary">#REF!</definedName>
    <definedName name="sasas" localSheetId="13" hidden="1">{#N/A,#N/A,FALSE,"인원";#N/A,#N/A,FALSE,"비용2";#N/A,#N/A,FALSE,"비용1";#N/A,#N/A,FALSE,"비용";#N/A,#N/A,FALSE,"보증2";#N/A,#N/A,FALSE,"보증1";#N/A,#N/A,FALSE,"보증";#N/A,#N/A,FALSE,"손익1";#N/A,#N/A,FALSE,"손익";#N/A,#N/A,FALSE,"부서별매출";#N/A,#N/A,FALSE,"매출"}</definedName>
    <definedName name="sasas" localSheetId="9" hidden="1">{#N/A,#N/A,FALSE,"인원";#N/A,#N/A,FALSE,"비용2";#N/A,#N/A,FALSE,"비용1";#N/A,#N/A,FALSE,"비용";#N/A,#N/A,FALSE,"보증2";#N/A,#N/A,FALSE,"보증1";#N/A,#N/A,FALSE,"보증";#N/A,#N/A,FALSE,"손익1";#N/A,#N/A,FALSE,"손익";#N/A,#N/A,FALSE,"부서별매출";#N/A,#N/A,FALSE,"매출"}</definedName>
    <definedName name="sasas" hidden="1">{#N/A,#N/A,FALSE,"인원";#N/A,#N/A,FALSE,"비용2";#N/A,#N/A,FALSE,"비용1";#N/A,#N/A,FALSE,"비용";#N/A,#N/A,FALSE,"보증2";#N/A,#N/A,FALSE,"보증1";#N/A,#N/A,FALSE,"보증";#N/A,#N/A,FALSE,"손익1";#N/A,#N/A,FALSE,"손익";#N/A,#N/A,FALSE,"부서별매출";#N/A,#N/A,FALSE,"매출"}</definedName>
    <definedName name="satu">#REF!</definedName>
    <definedName name="sb">#REF!</definedName>
    <definedName name="SBU_SUMMARY">#REF!</definedName>
    <definedName name="SCALE" localSheetId="13">#REF!</definedName>
    <definedName name="SCALE">#REF!</definedName>
    <definedName name="Scdedule_D" localSheetId="13">#REF!</definedName>
    <definedName name="Scdedule_D">#REF!</definedName>
    <definedName name="SCH" localSheetId="13">#REF!</definedName>
    <definedName name="SCH">#REF!</definedName>
    <definedName name="SCH__2">#REF!</definedName>
    <definedName name="SCH_1">#REF!</definedName>
    <definedName name="SCH_1_2">#REF!</definedName>
    <definedName name="SCH_1_2_2">#REF!</definedName>
    <definedName name="SCH_10_11_12">#REF!</definedName>
    <definedName name="SCH_10_11_12_2">#REF!</definedName>
    <definedName name="SCH_11">#REF!</definedName>
    <definedName name="SCH_13">#REF!</definedName>
    <definedName name="SCH_13_2">#REF!</definedName>
    <definedName name="SCH_14_15_16">#REF!</definedName>
    <definedName name="SCH_14_15_16_2">#REF!</definedName>
    <definedName name="SCH_2">#REF!</definedName>
    <definedName name="SCH_3">#REF!</definedName>
    <definedName name="SCH_3_4">#REF!</definedName>
    <definedName name="SCH_3_4_2">#REF!</definedName>
    <definedName name="SCH_3_4_5">"'file://Makess121/Documents and Settings/Satish Kanwar/Local Settings/Temporary Internet Files/OLK6A/Documents and Settings/Owner/My Documents/BS - 2004-05/BS 28.02.2005 STL - W.xls'#$B_Sheet.$#REF!$#REF!:$#REF!$#REF!"</definedName>
    <definedName name="SCH_4">#REF!</definedName>
    <definedName name="SCH_5">#REF!</definedName>
    <definedName name="SCH_5_2">#REF!</definedName>
    <definedName name="SCH_6">#REF!</definedName>
    <definedName name="SCH_6_7">#REF!</definedName>
    <definedName name="SCH_6_7_2">#REF!</definedName>
    <definedName name="SCH_6_7_5">"'file://Makess121/Documents and Settings/Satish Kanwar/Local Settings/Temporary Internet Files/OLK6A/Documents and Settings/Owner/My Documents/BS - 2004-05/BS 28.02.2005 STL - W.xls'#$B_Sheet.$#REF!$#REF!:$#REF!$#REF!"</definedName>
    <definedName name="SCH_7">#REF!</definedName>
    <definedName name="SCH_8_9">#REF!</definedName>
    <definedName name="SCH_8_9_2">#REF!</definedName>
    <definedName name="SCH_8_9_5">"'file://Makess121/Documents and Settings/Satish Kanwar/Local Settings/Temporary Internet Files/OLK6A/Documents and Settings/Owner/My Documents/BS - 2004-05/BS 28.02.2005 STL - W.xls'#$B_Sheet.$#REF!$#REF!:$#REF!$#REF!"</definedName>
    <definedName name="SCH1_5">#REF!</definedName>
    <definedName name="SCH6_10">#REF!</definedName>
    <definedName name="Sched_Pay">#REF!</definedName>
    <definedName name="Schedule__J">#REF!</definedName>
    <definedName name="Schedule__L">#REF!</definedName>
    <definedName name="Schedule_A">#REF!</definedName>
    <definedName name="Schedule_B">#REF!</definedName>
    <definedName name="Schedule_C">#REF!</definedName>
    <definedName name="Schedule_Capital">#REF!</definedName>
    <definedName name="Schedule_CurrentAssets">#REF!</definedName>
    <definedName name="Schedule_CurrentLiabilities">#REF!</definedName>
    <definedName name="Schedule_E">#REF!</definedName>
    <definedName name="Schedule_Expenditure">#REF!</definedName>
    <definedName name="Schedule_F">#REF!</definedName>
    <definedName name="Schedule_G">#REF!</definedName>
    <definedName name="Schedule_H">#REF!</definedName>
    <definedName name="Schedule_I">#REF!</definedName>
    <definedName name="Schedule_K">#REF!</definedName>
    <definedName name="Schedule_M">#REF!</definedName>
    <definedName name="Schedule_N">#REF!</definedName>
    <definedName name="Schedule_P">#REF!</definedName>
    <definedName name="Schedule_Q">#REF!</definedName>
    <definedName name="Scheduled_Extra_Payments">#REF!</definedName>
    <definedName name="Scheduled_Interest_Rate">#REF!</definedName>
    <definedName name="Scheduled_Monthly_Payment">#REF!</definedName>
    <definedName name="SCHFA">#REF!</definedName>
    <definedName name="SCMFLOW">#REF!</definedName>
    <definedName name="SCMLIST">#REF!</definedName>
    <definedName name="SCMSPU">#REF!</definedName>
    <definedName name="SCR">#REF!</definedName>
    <definedName name="SCRCNRATIO" localSheetId="9" hidden="1">#REF!</definedName>
    <definedName name="SCRCNRATIO" hidden="1">#REF!</definedName>
    <definedName name="sd" localSheetId="13">#REF!</definedName>
    <definedName name="sd">#REF!</definedName>
    <definedName name="SD_SB" localSheetId="13">#REF!</definedName>
    <definedName name="SD_SB">#REF!</definedName>
    <definedName name="SDA" localSheetId="13" hidden="1">{"'Graphic'!$A$1:$S$52"}</definedName>
    <definedName name="SDA" localSheetId="9" hidden="1">{"'Graphic'!$A$1:$S$52"}</definedName>
    <definedName name="SDA" hidden="1">{"'Graphic'!$A$1:$S$52"}</definedName>
    <definedName name="sdadhawejkl" localSheetId="13" hidden="1">{"DJH3",#N/A,FALSE,"PFL00805";"PJB3",#N/A,FALSE,"PFL00805";"JMD3",#N/A,FALSE,"PFL00805";"DNB3",#N/A,FALSE,"PFL00805";"MJP3",#N/A,FALSE,"PFL00805";"RAB3",#N/A,FALSE,"PFL00805";"GJW3",#N/A,FALSE,"PFL00805";"MASTER3",#N/A,FALSE,"PFL00805"}</definedName>
    <definedName name="sdadhawejkl" localSheetId="9"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ＳＤＢＦ見積ＢＦ型代">#REF!</definedName>
    <definedName name="ＳＤＢＦ見積ＢＦ型費">#REF!</definedName>
    <definedName name="ＳＤＢＦ見積ＢＦ素子数">#REF!</definedName>
    <definedName name="ＳＤＢＦ見積ＢＦ部品費">#REF!</definedName>
    <definedName name="ＳＤＢＦ見積ＴＣＵ型代">#REF!</definedName>
    <definedName name="ＳＤＢＦ見積ＴＣＵ型費">#REF!</definedName>
    <definedName name="ＳＤＢＦ見積ＴＣＵ素子数">#REF!</definedName>
    <definedName name="ＳＤＢＦ見積ＴＣＵ部品費">#REF!</definedName>
    <definedName name="ＳＤＢＦ見積ＷＡ型代">#REF!</definedName>
    <definedName name="ＳＤＢＦ見積ＷＡ型費">#REF!</definedName>
    <definedName name="ＳＤＢＦ見積ＷＡ素子数">#REF!</definedName>
    <definedName name="ＳＤＢＦ見積ＷＡ部品費">#REF!</definedName>
    <definedName name="ＳＤＢＦ見積合計型代">#REF!</definedName>
    <definedName name="ＳＤＢＦ見積合計型費">#REF!</definedName>
    <definedName name="ＳＤＢＦ見積合計素子数">#REF!</definedName>
    <definedName name="ＳＤＢＦ見積合計部品費">#REF!</definedName>
    <definedName name="ＳＤＢＦ見積統合型代">#REF!</definedName>
    <definedName name="ＳＤＢＦ見積統合型費">#REF!</definedName>
    <definedName name="ＳＤＢＦ見積統合素子数">#REF!</definedName>
    <definedName name="ＳＤＢＦ見積統合部品費">#REF!</definedName>
    <definedName name="sdd" localSheetId="13" hidden="1">{#N/A,#N/A,TRUE,"일정"}</definedName>
    <definedName name="sdd" localSheetId="9" hidden="1">{#N/A,#N/A,TRUE,"일정"}</definedName>
    <definedName name="sdd" hidden="1">{#N/A,#N/A,TRUE,"일정"}</definedName>
    <definedName name="sdf">#REF!</definedName>
    <definedName name="SDFDFDFDFDFD" localSheetId="13" hidden="1">{"DJH3",#N/A,FALSE,"PFL00805";"PJB3",#N/A,FALSE,"PFL00805";"JMD3",#N/A,FALSE,"PFL00805";"DNB3",#N/A,FALSE,"PFL00805";"MJP3",#N/A,FALSE,"PFL00805";"RAB3",#N/A,FALSE,"PFL00805";"GJW3",#N/A,FALSE,"PFL00805";"MASTER3",#N/A,FALSE,"PFL00805"}</definedName>
    <definedName name="SDFDFDFDFDFD" localSheetId="9"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g" localSheetId="13" hidden="1">{#N/A,#N/A,FALSE,"Aging Summary";#N/A,#N/A,FALSE,"Ratio Analysis";#N/A,#N/A,FALSE,"Test 120 Day Accts";#N/A,#N/A,FALSE,"Tickmarks"}</definedName>
    <definedName name="sdfg" localSheetId="9" hidden="1">{#N/A,#N/A,FALSE,"Aging Summary";#N/A,#N/A,FALSE,"Ratio Analysis";#N/A,#N/A,FALSE,"Test 120 Day Accts";#N/A,#N/A,FALSE,"Tickmarks"}</definedName>
    <definedName name="sdfg" hidden="1">{#N/A,#N/A,FALSE,"Aging Summary";#N/A,#N/A,FALSE,"Ratio Analysis";#N/A,#N/A,FALSE,"Test 120 Day Accts";#N/A,#N/A,FALSE,"Tickmarks"}</definedName>
    <definedName name="sdfvsdfv" localSheetId="13" hidden="1">{#N/A,#N/A,FALSE,"Aging Summary";#N/A,#N/A,FALSE,"Ratio Analysis";#N/A,#N/A,FALSE,"Test 120 Day Accts";#N/A,#N/A,FALSE,"Tickmarks"}</definedName>
    <definedName name="sdfvsdfv" localSheetId="9" hidden="1">{#N/A,#N/A,FALSE,"Aging Summary";#N/A,#N/A,FALSE,"Ratio Analysis";#N/A,#N/A,FALSE,"Test 120 Day Accts";#N/A,#N/A,FALSE,"Tickmarks"}</definedName>
    <definedName name="sdfvsdfv" hidden="1">{#N/A,#N/A,FALSE,"Aging Summary";#N/A,#N/A,FALSE,"Ratio Analysis";#N/A,#N/A,FALSE,"Test 120 Day Accts";#N/A,#N/A,FALSE,"Tickmarks"}</definedName>
    <definedName name="SDgae">#REF!</definedName>
    <definedName name="sdrwerwe" localSheetId="9" hidden="1">#REF!</definedName>
    <definedName name="sdrwerwe" hidden="1">#REF!</definedName>
    <definedName name="sdtdf">#REF!</definedName>
    <definedName name="SE">#REF!</definedName>
    <definedName name="SE20AMC.SE20AMC">#REF!</definedName>
    <definedName name="SE25LJ.SE25LJ">#REF!</definedName>
    <definedName name="searwerwe" localSheetId="13" hidden="1">#REF!</definedName>
    <definedName name="searwerwe" localSheetId="9" hidden="1">#REF!</definedName>
    <definedName name="searwerwe" hidden="1">#REF!</definedName>
    <definedName name="SEC_LOAN" localSheetId="13">#REF!</definedName>
    <definedName name="SEC_LOAN">#REF!</definedName>
    <definedName name="sec14a"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c14a"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c14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curity">#REF!</definedName>
    <definedName name="seg" localSheetId="13" hidden="1">{#N/A,#N/A,FALSE,"SUMMARY REPORT"}</definedName>
    <definedName name="seg" localSheetId="9" hidden="1">{#N/A,#N/A,FALSE,"SUMMARY REPORT"}</definedName>
    <definedName name="seg" hidden="1">{#N/A,#N/A,FALSE,"SUMMARY REPORT"}</definedName>
    <definedName name="Seite01_Schlüsselinformationen">#REF!</definedName>
    <definedName name="Seite02_GuV">#REF!</definedName>
    <definedName name="Seite03_Bilanz">#REF!</definedName>
    <definedName name="Seite04_CashFlow">#REF!</definedName>
    <definedName name="Seite05_Anlagenspiegel">#REF!</definedName>
    <definedName name="Seite06_Umsätze_Extern">#REF!</definedName>
    <definedName name="Seite07_Umsätze_Gruppe">#REF!</definedName>
    <definedName name="Seite08_Umsätze_Material">#REF!</definedName>
    <definedName name="Seite09_Gemeinkosten_Produktion">#REF!</definedName>
    <definedName name="Seite10_Gemeinkosten_Qualität">#REF!</definedName>
    <definedName name="Seite11_Gemeinkosten_Entwicklung">#REF!</definedName>
    <definedName name="Seite12_Gemeinkosten_Vertrieb">#REF!</definedName>
    <definedName name="Seite13_Gemeinkosten_Verwaltung">#REF!</definedName>
    <definedName name="Seite14_Gemeinkosten_Gesamt">#REF!</definedName>
    <definedName name="Seite15_Eingabepositionen">#REF!</definedName>
    <definedName name="Selection">#REF!</definedName>
    <definedName name="SEND_GLOMICMF">#REF!</definedName>
    <definedName name="SEND_GLOMICOR">#REF!</definedName>
    <definedName name="SEND_GLOMICSP">#REF!</definedName>
    <definedName name="SEND_GLOSETMF">#REF!</definedName>
    <definedName name="SEND_GLOSETOR">#REF!</definedName>
    <definedName name="SEND_GLOSETPP">#REF!</definedName>
    <definedName name="SEND_GLOSETSP">#REF!</definedName>
    <definedName name="SENSOR1" localSheetId="13">#REF!</definedName>
    <definedName name="SENSOR1">#REF!</definedName>
    <definedName name="SENSOR2" localSheetId="13">#REF!</definedName>
    <definedName name="SENSOR2">#REF!</definedName>
    <definedName name="sep" localSheetId="13">#REF!</definedName>
    <definedName name="sep">#REF!</definedName>
    <definedName name="SEPDATA?">#REF!</definedName>
    <definedName name="Sequence">#REF!</definedName>
    <definedName name="ser" localSheetId="13" hidden="1">{#N/A,#N/A,FALSE,"SUMMARY REPORT"}</definedName>
    <definedName name="ser" localSheetId="9" hidden="1">{#N/A,#N/A,FALSE,"SUMMARY REPORT"}</definedName>
    <definedName name="ser" hidden="1">{#N/A,#N/A,FALSE,"SUMMARY REPORT"}</definedName>
    <definedName name="SETOFBOOKSID1">#REF!</definedName>
    <definedName name="SETOFBOOKSID2">#REF!</definedName>
    <definedName name="SETOFBOOKSID3">#REF!</definedName>
    <definedName name="SETOFBOOKSID4">#REF!</definedName>
    <definedName name="SETOFBOOKSID5">#REF!</definedName>
    <definedName name="SETOFBOOKSID6">#REF!</definedName>
    <definedName name="SETOFBOOKSID7">#REF!</definedName>
    <definedName name="SETOFBOOKSNAME1">#REF!</definedName>
    <definedName name="SETOFBOOKSNAME2">#REF!</definedName>
    <definedName name="SETOFBOOKSNAME3">#REF!</definedName>
    <definedName name="SETOFBOOKSNAME4">#REF!</definedName>
    <definedName name="SETOFBOOKSNAME5">#REF!</definedName>
    <definedName name="SETOFBOOKSNAME6">#REF!</definedName>
    <definedName name="SETOFBOOKSNAME7">#REF!</definedName>
    <definedName name="SETUP_PRINT">#REF!</definedName>
    <definedName name="SEVENDAY">#REF!</definedName>
    <definedName name="seyya">#REF!</definedName>
    <definedName name="sfd" localSheetId="13" hidden="1">{#N/A,#N/A,FALSE,"Aging Summary";#N/A,#N/A,FALSE,"Ratio Analysis";#N/A,#N/A,FALSE,"Test 120 Day Accts";#N/A,#N/A,FALSE,"Tickmarks"}</definedName>
    <definedName name="sfd" localSheetId="9" hidden="1">{#N/A,#N/A,FALSE,"Aging Summary";#N/A,#N/A,FALSE,"Ratio Analysis";#N/A,#N/A,FALSE,"Test 120 Day Accts";#N/A,#N/A,FALSE,"Tickmarks"}</definedName>
    <definedName name="sfd" hidden="1">{#N/A,#N/A,FALSE,"Aging Summary";#N/A,#N/A,FALSE,"Ratio Analysis";#N/A,#N/A,FALSE,"Test 120 Day Accts";#N/A,#N/A,FALSE,"Tickmarks"}</definedName>
    <definedName name="sfesfrwer" hidden="1">#REF!</definedName>
    <definedName name="sfsdf" localSheetId="13" hidden="1">{"F1 PAGE 1",#N/A,FALSE,"F1";"F1 PAGE 2",#N/A,FALSE,"F1"}</definedName>
    <definedName name="sfsdf" localSheetId="9" hidden="1">{"F1 PAGE 1",#N/A,FALSE,"F1";"F1 PAGE 2",#N/A,FALSE,"F1"}</definedName>
    <definedName name="sfsdf" hidden="1">{"F1 PAGE 1",#N/A,FALSE,"F1";"F1 PAGE 2",#N/A,FALSE,"F1"}</definedName>
    <definedName name="sft">#REF!</definedName>
    <definedName name="SGA">#REF!</definedName>
    <definedName name="sh" localSheetId="13">#REF!</definedName>
    <definedName name="sh">#REF!</definedName>
    <definedName name="SH_1234" localSheetId="13">#REF!</definedName>
    <definedName name="SH_1234">#REF!</definedName>
    <definedName name="SH_1314" localSheetId="13">#REF!</definedName>
    <definedName name="SH_1314">#REF!</definedName>
    <definedName name="SH_5">#REF!</definedName>
    <definedName name="SH_678">#REF!</definedName>
    <definedName name="SH_9101112">#REF!</definedName>
    <definedName name="sharad">#REF!</definedName>
    <definedName name="SHARED_FORMULA_1">#N/A</definedName>
    <definedName name="SHARED_FORMULA_3">#N/A</definedName>
    <definedName name="SHARED_FORMULA_5">#N/A</definedName>
    <definedName name="SHARED_FORMULA_7">#N/A</definedName>
    <definedName name="SHARED_FORMULA_9">#N/A</definedName>
    <definedName name="Sheet">#REF!</definedName>
    <definedName name="Sheet1">#REF!</definedName>
    <definedName name="sheet6" localSheetId="13" hidden="1">{#N/A,#N/A,FALSE,"196126-0690";#N/A,#N/A,FALSE,"196126-0690";#N/A,#N/A,FALSE,"1961165-0201"}</definedName>
    <definedName name="sheet6" localSheetId="9" hidden="1">{#N/A,#N/A,FALSE,"196126-0690";#N/A,#N/A,FALSE,"196126-0690";#N/A,#N/A,FALSE,"1961165-0201"}</definedName>
    <definedName name="sheet6" hidden="1">{#N/A,#N/A,FALSE,"196126-0690";#N/A,#N/A,FALSE,"196126-0690";#N/A,#N/A,FALSE,"1961165-0201"}</definedName>
    <definedName name="SheLett">#REF!</definedName>
    <definedName name="Shifts">#REF!</definedName>
    <definedName name="SHIPP1" localSheetId="13">#REF!</definedName>
    <definedName name="SHIPP1">#REF!</definedName>
    <definedName name="sho" localSheetId="13">#REF!</definedName>
    <definedName name="sho">#REF!</definedName>
    <definedName name="significant" localSheetId="13" hidden="1">{#N/A,#N/A,FALSE,"SMT1";#N/A,#N/A,FALSE,"SMT2";#N/A,#N/A,FALSE,"Summary";#N/A,#N/A,FALSE,"Graphs";#N/A,#N/A,FALSE,"4 Panel"}</definedName>
    <definedName name="significant" localSheetId="9" hidden="1">{#N/A,#N/A,FALSE,"SMT1";#N/A,#N/A,FALSE,"SMT2";#N/A,#N/A,FALSE,"Summary";#N/A,#N/A,FALSE,"Graphs";#N/A,#N/A,FALSE,"4 Panel"}</definedName>
    <definedName name="significant" hidden="1">{#N/A,#N/A,FALSE,"SMT1";#N/A,#N/A,FALSE,"SMT2";#N/A,#N/A,FALSE,"Summary";#N/A,#N/A,FALSE,"Graphs";#N/A,#N/A,FALSE,"4 Panel"}</definedName>
    <definedName name="SINRATE">#REF!</definedName>
    <definedName name="SiteName">#REF!</definedName>
    <definedName name="Size_1">#REF!</definedName>
    <definedName name="Size_2">#REF!</definedName>
    <definedName name="Size_3">#REF!</definedName>
    <definedName name="Size_4">#REF!</definedName>
    <definedName name="Size_5">#REF!</definedName>
    <definedName name="skl">#REF!</definedName>
    <definedName name="sklhhhhhhhhh" localSheetId="13" hidden="1">{#N/A,#N/A,FALSE,"Full";#N/A,#N/A,FALSE,"Half";#N/A,#N/A,FALSE,"Op Expenses";#N/A,#N/A,FALSE,"Cap Charge";#N/A,#N/A,FALSE,"Cost C";#N/A,#N/A,FALSE,"PP&amp;E";#N/A,#N/A,FALSE,"R&amp;D"}</definedName>
    <definedName name="sklhhhhhhhhh" localSheetId="9" hidden="1">{#N/A,#N/A,FALSE,"Full";#N/A,#N/A,FALSE,"Half";#N/A,#N/A,FALSE,"Op Expenses";#N/A,#N/A,FALSE,"Cap Charge";#N/A,#N/A,FALSE,"Cost C";#N/A,#N/A,FALSE,"PP&amp;E";#N/A,#N/A,FALSE,"R&amp;D"}</definedName>
    <definedName name="sklhhhhhhhhh" hidden="1">{#N/A,#N/A,FALSE,"Full";#N/A,#N/A,FALSE,"Half";#N/A,#N/A,FALSE,"Op Expenses";#N/A,#N/A,FALSE,"Cap Charge";#N/A,#N/A,FALSE,"Cost C";#N/A,#N/A,FALSE,"PP&amp;E";#N/A,#N/A,FALSE,"R&amp;D"}</definedName>
    <definedName name="SlabPenal">#REF!</definedName>
    <definedName name="slp" localSheetId="13" hidden="1">{#N/A,#N/A,FALSE,"SUMMARY REPORT"}</definedName>
    <definedName name="slp" localSheetId="9" hidden="1">{#N/A,#N/A,FALSE,"SUMMARY REPORT"}</definedName>
    <definedName name="slp" hidden="1">{#N/A,#N/A,FALSE,"SUMMARY REPORT"}</definedName>
    <definedName name="sm">#REF!</definedName>
    <definedName name="SMHs">#REF!</definedName>
    <definedName name="SOCESG">#REF!</definedName>
    <definedName name="SOCPSG">#REF!</definedName>
    <definedName name="Socso_ESG">#REF!</definedName>
    <definedName name="Socso_PSG">#REF!</definedName>
    <definedName name="solus" localSheetId="9" hidden="1">#REF!</definedName>
    <definedName name="solus" hidden="1">#REF!</definedName>
    <definedName name="solver_adj" localSheetId="13" hidden="1">#REF!</definedName>
    <definedName name="solver_adj" localSheetId="9" hidden="1">#REF!</definedName>
    <definedName name="solver_adj" hidden="1">#REF!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localSheetId="9" hidden="1">#REF!</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ORT">#REF!</definedName>
    <definedName name="sort_area">#REF!</definedName>
    <definedName name="sort_range">#REF!</definedName>
    <definedName name="sortdata">#REF!</definedName>
    <definedName name="SOSIKITABLE">#REF!</definedName>
    <definedName name="SPEC" localSheetId="13">#REF!</definedName>
    <definedName name="SPEC">#REF!</definedName>
    <definedName name="SpecialPrice" localSheetId="13" hidden="1">#REF!</definedName>
    <definedName name="SpecialPrice" localSheetId="9" hidden="1">#REF!</definedName>
    <definedName name="SpecialPrice" hidden="1">#REF!</definedName>
    <definedName name="SPECIFIC" localSheetId="13">#REF!</definedName>
    <definedName name="SPECIFIC">#REF!</definedName>
    <definedName name="SPECSUMMARY" localSheetId="13">#REF!</definedName>
    <definedName name="SPECSUMMARY">#REF!</definedName>
    <definedName name="SPEED" localSheetId="13">#REF!</definedName>
    <definedName name="SPEED">#REF!</definedName>
    <definedName name="splall" localSheetId="13">#REF!</definedName>
    <definedName name="splall">#REF!</definedName>
    <definedName name="spread">#N/A</definedName>
    <definedName name="spread1">#N/A</definedName>
    <definedName name="spreadadj">#N/A</definedName>
    <definedName name="SPT__Czech" localSheetId="13">#REF!</definedName>
    <definedName name="SPT__Czech">#REF!</definedName>
    <definedName name="srdfg" localSheetId="13" hidden="1">{#N/A,#N/A,FALSE,"Aging Summary";#N/A,#N/A,FALSE,"Ratio Analysis";#N/A,#N/A,FALSE,"Test 120 Day Accts";#N/A,#N/A,FALSE,"Tickmarks"}</definedName>
    <definedName name="srdfg" localSheetId="9" hidden="1">{#N/A,#N/A,FALSE,"Aging Summary";#N/A,#N/A,FALSE,"Ratio Analysis";#N/A,#N/A,FALSE,"Test 120 Day Accts";#N/A,#N/A,FALSE,"Tickmarks"}</definedName>
    <definedName name="srdfg" hidden="1">{#N/A,#N/A,FALSE,"Aging Summary";#N/A,#N/A,FALSE,"Ratio Analysis";#N/A,#N/A,FALSE,"Test 120 Day Accts";#N/A,#N/A,FALSE,"Tickmarks"}</definedName>
    <definedName name="srdy">#REF!</definedName>
    <definedName name="sreya">#REF!</definedName>
    <definedName name="sridhar">#REF!</definedName>
    <definedName name="srty">#REF!</definedName>
    <definedName name="srw334g" localSheetId="13" hidden="1">#REF!</definedName>
    <definedName name="srw334g" localSheetId="9" hidden="1">#REF!</definedName>
    <definedName name="srw334g" hidden="1">#REF!</definedName>
    <definedName name="SS" localSheetId="13" hidden="1">#REF!</definedName>
    <definedName name="SS" localSheetId="9" hidden="1">#REF!</definedName>
    <definedName name="SS" hidden="1">#REF!</definedName>
    <definedName name="ssa" localSheetId="13">#REF!</definedName>
    <definedName name="ssa">#REF!</definedName>
    <definedName name="ssort">#REF!</definedName>
    <definedName name="SSS"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d" localSheetId="13" hidden="1">{"F1 PAGE 1",#N/A,FALSE,"F1";"F1 PAGE 2",#N/A,FALSE,"F1"}</definedName>
    <definedName name="Sssd" localSheetId="9" hidden="1">{"F1 PAGE 1",#N/A,FALSE,"F1";"F1 PAGE 2",#N/A,FALSE,"F1"}</definedName>
    <definedName name="Sssd" hidden="1">{"F1 PAGE 1",#N/A,FALSE,"F1";"F1 PAGE 2",#N/A,FALSE,"F1"}</definedName>
    <definedName name="SSSE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3" hidden="1">{#N/A,#N/A,FALSE,"SUMMARY REPORT"}</definedName>
    <definedName name="ssss" localSheetId="9" hidden="1">{#N/A,#N/A,FALSE,"SUMMARY REPORT"}</definedName>
    <definedName name="ssss" hidden="1">{#N/A,#N/A,FALSE,"SUMMARY REPORT"}</definedName>
    <definedName name="sssss"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ssss"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sss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ssssssssssssssssssssssssssss" localSheetId="13" hidden="1">{"F1 PAGE 1",#N/A,FALSE,"F1";"F1 PAGE 2",#N/A,FALSE,"F1"}</definedName>
    <definedName name="sssssssssssssssssssssssssssss" localSheetId="9" hidden="1">{"F1 PAGE 1",#N/A,FALSE,"F1";"F1 PAGE 2",#N/A,FALSE,"F1"}</definedName>
    <definedName name="sssssssssssssssssssssssssssss" hidden="1">{"F1 PAGE 1",#N/A,FALSE,"F1";"F1 PAGE 2",#N/A,FALSE,"F1"}</definedName>
    <definedName name="SSTR">#REF!</definedName>
    <definedName name="st">#REF!</definedName>
    <definedName name="STAFF">#REF!</definedName>
    <definedName name="staffexpline">#REF!</definedName>
    <definedName name="staffno" localSheetId="13">#REF!</definedName>
    <definedName name="staffno">#REF!</definedName>
    <definedName name="StaffScale" localSheetId="13">#REF!</definedName>
    <definedName name="StaffScale">#REF!</definedName>
    <definedName name="staffwelfare" localSheetId="13">#REF!</definedName>
    <definedName name="staffwelfare">#REF!</definedName>
    <definedName name="STAR">#REF!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JOURNALIMPORT1">#REF!</definedName>
    <definedName name="STARTJOURNALIMPORT2">#REF!</definedName>
    <definedName name="STARTJOURNALIMPORT3">#REF!</definedName>
    <definedName name="STARTJOURNALIMPORT4">#REF!</definedName>
    <definedName name="STARTJOURNALIMPORT5">#REF!</definedName>
    <definedName name="STARTJOURNALIMPORT6">#REF!</definedName>
    <definedName name="STARTJOURNALIMPORT7">#REF!</definedName>
    <definedName name="StartSummaryCol">#REF!</definedName>
    <definedName name="state">#REF!</definedName>
    <definedName name="Std_Mix" localSheetId="13">#REF!</definedName>
    <definedName name="Std_Mix">#REF!</definedName>
    <definedName name="Std_Rate" localSheetId="13">#REF!</definedName>
    <definedName name="Std_Rate">#REF!</definedName>
    <definedName name="stdhg" localSheetId="13" hidden="1">{#N/A,#N/A,FALSE,"Aging Summary";#N/A,#N/A,FALSE,"Ratio Analysis";#N/A,#N/A,FALSE,"Test 120 Day Accts";#N/A,#N/A,FALSE,"Tickmarks"}</definedName>
    <definedName name="stdhg" localSheetId="9" hidden="1">{#N/A,#N/A,FALSE,"Aging Summary";#N/A,#N/A,FALSE,"Ratio Analysis";#N/A,#N/A,FALSE,"Test 120 Day Accts";#N/A,#N/A,FALSE,"Tickmarks"}</definedName>
    <definedName name="stdhg" hidden="1">{#N/A,#N/A,FALSE,"Aging Summary";#N/A,#N/A,FALSE,"Ratio Analysis";#N/A,#N/A,FALSE,"Test 120 Day Accts";#N/A,#N/A,FALSE,"Tickmarks"}</definedName>
    <definedName name="step">#REF!</definedName>
    <definedName name="sTFg">#REF!</definedName>
    <definedName name="stj" localSheetId="13" hidden="1">{#N/A,#N/A,FALSE,"SUMMARY REPORT"}</definedName>
    <definedName name="stj" localSheetId="9" hidden="1">{#N/A,#N/A,FALSE,"SUMMARY REPORT"}</definedName>
    <definedName name="stj" hidden="1">{#N/A,#N/A,FALSE,"SUMMARY REPORT"}</definedName>
    <definedName name="STOCK">#REF!</definedName>
    <definedName name="storeconsumed">#REF!</definedName>
    <definedName name="strat">#REF!</definedName>
    <definedName name="STScale" localSheetId="13">#REF!</definedName>
    <definedName name="STScale">#REF!</definedName>
    <definedName name="stsg" localSheetId="13" hidden="1">{"Network Summary",#N/A,TRUE,"Summary";"Piping Summary",#N/A,TRUE," Piping";"Meters Summary",#N/A,TRUE,"Meters &amp; Connections";"Connections Summary",#N/A,TRUE,"Meters &amp; Connections";"Stations Summary",#N/A,TRUE,"Stations Pivot"}</definedName>
    <definedName name="stsg" localSheetId="9" hidden="1">{"Network Summary",#N/A,TRUE,"Summary";"Piping Summary",#N/A,TRUE," Piping";"Meters Summary",#N/A,TRUE,"Meters &amp; Connections";"Connections Summary",#N/A,TRUE,"Meters &amp; Connections";"Stations Summary",#N/A,TRUE,"Stations Pivot"}</definedName>
    <definedName name="stsg" hidden="1">{"Network Summary",#N/A,TRUE,"Summary";"Piping Summary",#N/A,TRUE," Piping";"Meters Summary",#N/A,TRUE,"Meters &amp; Connections";"Connections Summary",#N/A,TRUE,"Meters &amp; Connections";"Stations Summary",#N/A,TRUE,"Stations Pivot"}</definedName>
    <definedName name="sug" localSheetId="13" hidden="1">{#N/A,#N/A,FALSE,"SUMMARY REPORT"}</definedName>
    <definedName name="sug" localSheetId="9" hidden="1">{#N/A,#N/A,FALSE,"SUMMARY REPORT"}</definedName>
    <definedName name="sug" hidden="1">{#N/A,#N/A,FALSE,"SUMMARY REPORT"}</definedName>
    <definedName name="sum">#REF!</definedName>
    <definedName name="Sum_RSq">#REF!</definedName>
    <definedName name="suma">#REF!</definedName>
    <definedName name="SUMDRC">#REF!</definedName>
    <definedName name="SUMDRCI">#REF!</definedName>
    <definedName name="SUMGB">#REF!</definedName>
    <definedName name="sumit" localSheetId="13">#REF!</definedName>
    <definedName name="sumit">#REF!</definedName>
    <definedName name="summ">#REF!</definedName>
    <definedName name="summary" localSheetId="9">#REF!</definedName>
    <definedName name="Summary">#REF!</definedName>
    <definedName name="SUMMARY__OF_GENERAL__EXPENSES____GB___98" localSheetId="13">#REF!</definedName>
    <definedName name="SUMMARY__OF_GENERAL__EXPENSES____GB___98">#REF!</definedName>
    <definedName name="SUMNB">#REF!</definedName>
    <definedName name="SUMRCN">#REF!</definedName>
    <definedName name="SumRSQu" localSheetId="13">#REF!</definedName>
    <definedName name="SumRSQu">#REF!</definedName>
    <definedName name="sundry" localSheetId="13">#REF!</definedName>
    <definedName name="sundry">#REF!</definedName>
    <definedName name="sundryexp" localSheetId="13">#REF!</definedName>
    <definedName name="sundryexp">#REF!</definedName>
    <definedName name="sunil">#REF!</definedName>
    <definedName name="SUNNYOP">#REF!</definedName>
    <definedName name="surtu" localSheetId="13">#REF!</definedName>
    <definedName name="surtu">#REF!</definedName>
    <definedName name="sustain">#REF!</definedName>
    <definedName name="SWDS" localSheetId="13">#REF!</definedName>
    <definedName name="SWDS">#REF!</definedName>
    <definedName name="swe" localSheetId="13" hidden="1">{#N/A,#N/A,FALSE,"SUMMARY REPORT"}</definedName>
    <definedName name="swe" localSheetId="9" hidden="1">{#N/A,#N/A,FALSE,"SUMMARY REPORT"}</definedName>
    <definedName name="swe" hidden="1">{#N/A,#N/A,FALSE,"SUMMARY REPORT"}</definedName>
    <definedName name="Sweden">#REF!</definedName>
    <definedName name="Switzerland">#REF!</definedName>
    <definedName name="Swvu.a." localSheetId="9" hidden="1">#REF!</definedName>
    <definedName name="Swvu.a." hidden="1">#REF!</definedName>
    <definedName name="syas">#REF!</definedName>
    <definedName name="SYM" localSheetId="13">#REF!</definedName>
    <definedName name="SYM">#REF!</definedName>
    <definedName name="SYNCSPU">#REF!</definedName>
    <definedName name="szg" localSheetId="13">#REF!</definedName>
    <definedName name="szg">#REF!</definedName>
    <definedName name="S外枠" localSheetId="13">#REF!</definedName>
    <definedName name="S外枠">#REF!</definedName>
    <definedName name="t">#REF!</definedName>
    <definedName name="T_B4横" localSheetId="13">#REF!</definedName>
    <definedName name="T_B4横">#REF!</definedName>
    <definedName name="T_回路" localSheetId="13">#REF!</definedName>
    <definedName name="T_回路">#REF!</definedName>
    <definedName name="table" localSheetId="13">#REF!</definedName>
    <definedName name="table">#REF!</definedName>
    <definedName name="ｔａｂｌｅ">#REF!</definedName>
    <definedName name="Table1" localSheetId="13">#REF!</definedName>
    <definedName name="Table1">#REF!</definedName>
    <definedName name="Table2" localSheetId="13">#REF!</definedName>
    <definedName name="Table2">#REF!</definedName>
    <definedName name="Table3" localSheetId="13">#REF!</definedName>
    <definedName name="Table3">#REF!</definedName>
    <definedName name="TACT">#REF!</definedName>
    <definedName name="tax">#REF!</definedName>
    <definedName name="tax_450">#REF!</definedName>
    <definedName name="TAX_ESG">#REF!</definedName>
    <definedName name="TAX_JUNE">#REF!</definedName>
    <definedName name="TAX_PSG">#REF!</definedName>
    <definedName name="Tax_Rate">#REF!</definedName>
    <definedName name="taxes">#REF!</definedName>
    <definedName name="TAXESG" localSheetId="13">#REF!</definedName>
    <definedName name="TAXESG">#REF!</definedName>
    <definedName name="taxestable">#REF!</definedName>
    <definedName name="TAXPSG" localSheetId="13">#REF!</definedName>
    <definedName name="TAXPSG">#REF!</definedName>
    <definedName name="TaxTV">10%</definedName>
    <definedName name="TaxXL">5%</definedName>
    <definedName name="tb">#REF!</definedName>
    <definedName name="TB_TITLE">#REF!</definedName>
    <definedName name="TB_TITLE_2">#REF!</definedName>
    <definedName name="TB310396_2">#REF!</definedName>
    <definedName name="TBA">#REF!</definedName>
    <definedName name="TBBS">NA()</definedName>
    <definedName name="tbdata">#REF!</definedName>
    <definedName name="tbl_ProdInfo" localSheetId="9" hidden="1">#REF!</definedName>
    <definedName name="tbl_ProdInfo" hidden="1">#REF!</definedName>
    <definedName name="TBPL">NA()</definedName>
    <definedName name="TCOMP">#REF!</definedName>
    <definedName name="TCU型代">#REF!</definedName>
    <definedName name="TCU型費">#REF!</definedName>
    <definedName name="TCU素子数">#REF!</definedName>
    <definedName name="TCU部品費">#REF!</definedName>
    <definedName name="TDEP">#REF!</definedName>
    <definedName name="tdia">#REF!</definedName>
    <definedName name="tdt">#REF!</definedName>
    <definedName name="team">#REF!</definedName>
    <definedName name="Teams">#REF!</definedName>
    <definedName name="TECH_STRUC" localSheetId="13">#REF!</definedName>
    <definedName name="TECH_STRUC" localSheetId="9">#REF!</definedName>
    <definedName name="TECH_STRUC">#REF!</definedName>
    <definedName name="Technical" localSheetId="13">#REF!</definedName>
    <definedName name="Technical">#REF!</definedName>
    <definedName name="TEL" localSheetId="13">#REF!</definedName>
    <definedName name="TEL">#REF!</definedName>
    <definedName name="TEL_2" localSheetId="13">#REF!</definedName>
    <definedName name="TEL_2">#REF!</definedName>
    <definedName name="Telefonica__Spain" localSheetId="13">#REF!</definedName>
    <definedName name="Telefonica__Spain">#REF!</definedName>
    <definedName name="Telekom_Malaysia" localSheetId="13">#REF!</definedName>
    <definedName name="Telekom_Malaysia">#REF!</definedName>
    <definedName name="telephone" localSheetId="13">#REF!</definedName>
    <definedName name="telephone">#REF!</definedName>
    <definedName name="Telkom" localSheetId="13">#REF!</definedName>
    <definedName name="Telkom">#REF!</definedName>
    <definedName name="Telstra" localSheetId="13">#REF!</definedName>
    <definedName name="Telstra">#REF!</definedName>
    <definedName name="TEMPLATENUMBER1" localSheetId="13">#REF!</definedName>
    <definedName name="TEMPLATENUMBER1">#REF!</definedName>
    <definedName name="TEMPLATENUMBER2" localSheetId="13">#REF!</definedName>
    <definedName name="TEMPLATENUMBER2">#REF!</definedName>
    <definedName name="TEMPLATENUMBER3" localSheetId="13">#REF!</definedName>
    <definedName name="TEMPLATENUMBER3">#REF!</definedName>
    <definedName name="TEMPLATENUMBER4">#REF!</definedName>
    <definedName name="TEMPLATENUMBER5">#REF!</definedName>
    <definedName name="TEMPLATENUMBER6">#REF!</definedName>
    <definedName name="TEMPLATENUMBER7">#REF!</definedName>
    <definedName name="TEMPLATESTYLE1">#REF!</definedName>
    <definedName name="TEMPLATESTYLE2">#REF!</definedName>
    <definedName name="TEMPLATESTYLE3">#REF!</definedName>
    <definedName name="TEMPLATESTYLE4">#REF!</definedName>
    <definedName name="TEMPLATESTYLE5">#REF!</definedName>
    <definedName name="TEMPLATESTYLE6">#REF!</definedName>
    <definedName name="TEMPLATESTYLE7">#REF!</definedName>
    <definedName name="TEMPLATETYPE1">#REF!</definedName>
    <definedName name="TEMPLATETYPE2">#REF!</definedName>
    <definedName name="TEMPLATETYPE3">#REF!</definedName>
    <definedName name="TEMPLATETYPE4">#REF!</definedName>
    <definedName name="TEMPLATETYPE5">#REF!</definedName>
    <definedName name="TEMPLATETYPE6">#REF!</definedName>
    <definedName name="TEMPLATETYPE7">#REF!</definedName>
    <definedName name="TENDAY">#REF!</definedName>
    <definedName name="tens">#REF!</definedName>
    <definedName name="test">#REF!</definedName>
    <definedName name="Test_1">#REF!</definedName>
    <definedName name="Test_2">#REF!</definedName>
    <definedName name="Test_3">#REF!</definedName>
    <definedName name="Test_4">#REF!</definedName>
    <definedName name="Test_Cost_Table_A" localSheetId="13">#REF!</definedName>
    <definedName name="Test_Cost_Table_A">#REF!</definedName>
    <definedName name="Test_HPU_01">#REF!</definedName>
    <definedName name="Test_HPU_02">#REF!</definedName>
    <definedName name="Test_HPU_03">#REF!</definedName>
    <definedName name="Test_HPU_04">#REF!</definedName>
    <definedName name="Test_ID">#REF!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BOR">#REF!</definedName>
    <definedName name="Tester">#REF!</definedName>
    <definedName name="TESTHKEY" localSheetId="13">#REF!</definedName>
    <definedName name="TESTHKEY">#REF!</definedName>
    <definedName name="TESTKEYS" localSheetId="13">#REF!</definedName>
    <definedName name="TESTKEYS">#REF!</definedName>
    <definedName name="TESTPCT" localSheetId="13">#REF!</definedName>
    <definedName name="TESTPCT">#REF!</definedName>
    <definedName name="TESTVKEY">#REF!</definedName>
    <definedName name="TESTWTD">#REF!</definedName>
    <definedName name="text1" localSheetId="13" hidden="1">{"'Sheet1'!$L$16"}</definedName>
    <definedName name="text1" localSheetId="9" hidden="1">{"'Sheet1'!$L$16"}</definedName>
    <definedName name="text1" hidden="1">{"'Sheet1'!$L$16"}</definedName>
    <definedName name="TextRefCopy1">#REF!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RangeCount" hidden="1">32</definedName>
    <definedName name="tg" localSheetId="13" hidden="1">{"DJH3",#N/A,FALSE,"PFL00805";"PJB3",#N/A,FALSE,"PFL00805";"JMD3",#N/A,FALSE,"PFL00805";"DNB3",#N/A,FALSE,"PFL00805";"MJP3",#N/A,FALSE,"PFL00805";"RAB3",#N/A,FALSE,"PFL00805";"GJW3",#N/A,FALSE,"PFL00805";"MASTER3",#N/A,FALSE,"PFL00805"}</definedName>
    <definedName name="tg" localSheetId="9"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13" hidden="1">{"DJH3",#N/A,FALSE,"PFL00805";"PJB3",#N/A,FALSE,"PFL00805";"JMD3",#N/A,FALSE,"PFL00805";"DNB3",#N/A,FALSE,"PFL00805";"MJP3",#N/A,FALSE,"PFL00805";"RAB3",#N/A,FALSE,"PFL00805";"GJW3",#N/A,FALSE,"PFL00805";"MASTER3",#N/A,FALSE,"PFL00805"}</definedName>
    <definedName name="TGERDT" localSheetId="9"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h">#REF!</definedName>
    <definedName name="thdt" localSheetId="13">#REF!</definedName>
    <definedName name="thdt">#REF!</definedName>
    <definedName name="THREE" localSheetId="13">#REF!</definedName>
    <definedName name="THREE">#REF!</definedName>
    <definedName name="THREEDAY" localSheetId="13">#REF!</definedName>
    <definedName name="THREEDAY">#REF!</definedName>
    <definedName name="Threshold">#REF!</definedName>
    <definedName name="thue">6</definedName>
    <definedName name="ticker">#REF!</definedName>
    <definedName name="Tien">#REF!</definedName>
    <definedName name="till6">#REF!</definedName>
    <definedName name="Tim_lan_xuat_hien">#REF!</definedName>
    <definedName name="tim_xuat_hien">#REF!</definedName>
    <definedName name="TinPen">#REF!</definedName>
    <definedName name="TinTractorPenal">#REF!</definedName>
    <definedName name="Title" localSheetId="13">#REF!</definedName>
    <definedName name="Title">#REF!</definedName>
    <definedName name="TITLE_1" localSheetId="13">#REF!</definedName>
    <definedName name="TITLE_1">#REF!</definedName>
    <definedName name="TITLE_2" localSheetId="13">#REF!</definedName>
    <definedName name="TITLE_2">#REF!</definedName>
    <definedName name="TITLE_3">#REF!</definedName>
    <definedName name="TITLE_4">#REF!</definedName>
    <definedName name="TITLE_5">#REF!</definedName>
    <definedName name="TITLE_6">#REF!</definedName>
    <definedName name="TITLE_7">#REF!</definedName>
    <definedName name="tld">#REF!</definedName>
    <definedName name="TLTH">#REF!</definedName>
    <definedName name="TLTH1">#REF!</definedName>
    <definedName name="tly" localSheetId="13">#REF!</definedName>
    <definedName name="tly">#REF!</definedName>
    <definedName name="TM_PA" localSheetId="13">#REF!</definedName>
    <definedName name="TM_PA">#REF!</definedName>
    <definedName name="tmkk_control" localSheetId="13" hidden="1">{"'August 2000'!$A$1:$J$101"}</definedName>
    <definedName name="tmkk_control" localSheetId="9" hidden="1">{"'August 2000'!$A$1:$J$101"}</definedName>
    <definedName name="tmkk_control" hidden="1">{"'August 2000'!$A$1:$J$101"}</definedName>
    <definedName name="TML_control" localSheetId="13" hidden="1">{"'August 2000'!$A$1:$J$101"}</definedName>
    <definedName name="TML_control" localSheetId="9" hidden="1">{"'August 2000'!$A$1:$J$101"}</definedName>
    <definedName name="TML_control" hidden="1">{"'August 2000'!$A$1:$J$101"}</definedName>
    <definedName name="tn">#REF!</definedName>
    <definedName name="Tong">#REF!</definedName>
    <definedName name="tongcong">#REF!</definedName>
    <definedName name="TOOLING">#REF!</definedName>
    <definedName name="Top">#REF!</definedName>
    <definedName name="TopEx." localSheetId="13">#REF!</definedName>
    <definedName name="TopEx.">#REF!</definedName>
    <definedName name="TOTAL" localSheetId="13">#REF!</definedName>
    <definedName name="TOTAL">#REF!</definedName>
    <definedName name="Total_Act_Qty" localSheetId="13">#REF!</definedName>
    <definedName name="Total_Act_Qty">#REF!</definedName>
    <definedName name="Total_Actual_Sales_Qty">#REF!</definedName>
    <definedName name="Total_Interest">#REF!</definedName>
    <definedName name="Total_Pay">#REF!</definedName>
    <definedName name="Total_Payment" localSheetId="13">Scheduled_Payment+Extra_Payment</definedName>
    <definedName name="Total_Payment" localSheetId="9">Scheduled_Payment+Extra_Payment</definedName>
    <definedName name="Total_Payment">Scheduled_Payment+Extra_Payment</definedName>
    <definedName name="TotalCA" localSheetId="13">#REF!</definedName>
    <definedName name="TotalCA">#REF!</definedName>
    <definedName name="TotalIBA" localSheetId="13">#REF!</definedName>
    <definedName name="TotalIBA">#REF!</definedName>
    <definedName name="totalmv97" localSheetId="13">#REF!</definedName>
    <definedName name="totalmv97">#REF!</definedName>
    <definedName name="TotalStmFlw" localSheetId="13">#REF!</definedName>
    <definedName name="TotalStmFlw">#REF!</definedName>
    <definedName name="TOTASS">#REF!</definedName>
    <definedName name="Totdebt">#REF!</definedName>
    <definedName name="tou" localSheetId="13">#REF!</definedName>
    <definedName name="tou">#REF!</definedName>
    <definedName name="TPSA__Poland">#REF!</definedName>
    <definedName name="tr" localSheetId="13" hidden="1">{#N/A,#N/A,FALSE,"SUMMARY REPORT"}</definedName>
    <definedName name="tr" localSheetId="9" hidden="1">{#N/A,#N/A,FALSE,"SUMMARY REPORT"}</definedName>
    <definedName name="tr" hidden="1">{#N/A,#N/A,FALSE,"SUMMARY REPORT"}</definedName>
    <definedName name="Tra_DM_su_dung">#REF!</definedName>
    <definedName name="Tra_don_gia_KS">#REF!</definedName>
    <definedName name="Tra_DTCT">#REF!</definedName>
    <definedName name="Tra_tim_hang_mucPT_trung">#REF!</definedName>
    <definedName name="TRA_VAT_LIEU">#REF!</definedName>
    <definedName name="TRA_VL">#REF!</definedName>
    <definedName name="TRAD">#REF!</definedName>
    <definedName name="traffic">#REF!</definedName>
    <definedName name="Transaction">#REF!</definedName>
    <definedName name="TRAVEL" localSheetId="13">#REF!</definedName>
    <definedName name="TRAVEL">#REF!</definedName>
    <definedName name="travelling" localSheetId="13">#REF!</definedName>
    <definedName name="travelling">#REF!</definedName>
    <definedName name="TRAVL" localSheetId="13">#REF!</definedName>
    <definedName name="TRAVL">#REF!</definedName>
    <definedName name="trdut" localSheetId="13">#REF!</definedName>
    <definedName name="trdut">#REF!</definedName>
    <definedName name="Treasury" localSheetId="13">#REF!</definedName>
    <definedName name="Treasury">#REF!</definedName>
    <definedName name="TREE" localSheetId="13" hidden="1">#REF!</definedName>
    <definedName name="TREE" localSheetId="9" hidden="1">#REF!</definedName>
    <definedName name="TREE" hidden="1">#REF!</definedName>
    <definedName name="Trend_Table">#REF!</definedName>
    <definedName name="TRENDFACT">#REF!</definedName>
    <definedName name="tret" localSheetId="13" hidden="1">{#N/A,#N/A,FALSE,"196126-0690";#N/A,#N/A,FALSE,"196126-0690";#N/A,#N/A,FALSE,"1961165-0201"}</definedName>
    <definedName name="tret" localSheetId="9" hidden="1">{#N/A,#N/A,FALSE,"196126-0690";#N/A,#N/A,FALSE,"196126-0690";#N/A,#N/A,FALSE,"1961165-0201"}</definedName>
    <definedName name="tret" hidden="1">{#N/A,#N/A,FALSE,"196126-0690";#N/A,#N/A,FALSE,"196126-0690";#N/A,#N/A,FALSE,"1961165-0201"}</definedName>
    <definedName name="TRIAL">#REF!</definedName>
    <definedName name="trial2000">#REF!</definedName>
    <definedName name="trial2001">#REF!</definedName>
    <definedName name="trialf">#REF!</definedName>
    <definedName name="trialfinal">#REF!</definedName>
    <definedName name="TRILLSPU">#REF!</definedName>
    <definedName name="TRNS">#REF!</definedName>
    <definedName name="trs" localSheetId="13" hidden="1">{#N/A,#N/A,FALSE,"196126-0690";#N/A,#N/A,FALSE,"196126-0690";#N/A,#N/A,FALSE,"1961165-0201"}</definedName>
    <definedName name="trs" localSheetId="9" hidden="1">{#N/A,#N/A,FALSE,"196126-0690";#N/A,#N/A,FALSE,"196126-0690";#N/A,#N/A,FALSE,"1961165-0201"}</definedName>
    <definedName name="trs" hidden="1">{#N/A,#N/A,FALSE,"196126-0690";#N/A,#N/A,FALSE,"196126-0690";#N/A,#N/A,FALSE,"1961165-0201"}</definedName>
    <definedName name="trsy">#REF!</definedName>
    <definedName name="trt" localSheetId="13">#REF!</definedName>
    <definedName name="trt">#REF!</definedName>
    <definedName name="trtrgfrrg" localSheetId="13" hidden="1">{"DJH3",#N/A,FALSE,"PFL00805";"PJB3",#N/A,FALSE,"PFL00805";"JMD3",#N/A,FALSE,"PFL00805";"DNB3",#N/A,FALSE,"PFL00805";"MJP3",#N/A,FALSE,"PFL00805";"RAB3",#N/A,FALSE,"PFL00805";"GJW3",#N/A,FALSE,"PFL00805";"MASTER3",#N/A,FALSE,"PFL00805"}</definedName>
    <definedName name="trtrgfrrg" localSheetId="9"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VL">#REF!</definedName>
    <definedName name="TRX_11" localSheetId="13">#REF!</definedName>
    <definedName name="TRX_11">#REF!</definedName>
    <definedName name="TRX_111" localSheetId="13">#REF!</definedName>
    <definedName name="TRX_111">#REF!</definedName>
    <definedName name="TRX_222" localSheetId="13">#REF!</definedName>
    <definedName name="TRX_222">#REF!</definedName>
    <definedName name="TRX_333">#REF!</definedName>
    <definedName name="TRX_433">#REF!</definedName>
    <definedName name="TRX_444">#REF!</definedName>
    <definedName name="TRX_One_Cell">#REF!</definedName>
    <definedName name="TRX_Two_Cells">#REF!</definedName>
    <definedName name="tt">#REF!</definedName>
    <definedName name="tthi">#REF!</definedName>
    <definedName name="TTLB1">#REF!</definedName>
    <definedName name="TTLB2">#REF!</definedName>
    <definedName name="TTLB3">#REF!</definedName>
    <definedName name="TTT" localSheetId="13" hidden="1">{#N/A,#N/A,FALSE,"Staffnos &amp; cost"}</definedName>
    <definedName name="TTT" localSheetId="9" hidden="1">{#N/A,#N/A,FALSE,"Staffnos &amp; cost"}</definedName>
    <definedName name="TTT" hidden="1">{#N/A,#N/A,FALSE,"Staffnos &amp; cost"}</definedName>
    <definedName name="TUCKS1">#REF!</definedName>
    <definedName name="TWIN1">#REF!</definedName>
    <definedName name="TWO">#REF!</definedName>
    <definedName name="ty_le">#REF!</definedName>
    <definedName name="ty_le_BTN">#REF!</definedName>
    <definedName name="Ty_le1">#REF!</definedName>
    <definedName name="tyu" localSheetId="13" hidden="1">{#N/A,#N/A,FALSE,"SUMMARY REPORT"}</definedName>
    <definedName name="tyu" localSheetId="9" hidden="1">{#N/A,#N/A,FALSE,"SUMMARY REPORT"}</definedName>
    <definedName name="tyu" hidden="1">{#N/A,#N/A,FALSE,"SUMMARY REPORT"}</definedName>
    <definedName name="u">#REF!</definedName>
    <definedName name="U_A3縦">#REF!</definedName>
    <definedName name="ufh" localSheetId="13" hidden="1">{#N/A,#N/A,FALSE,"SUMMARY REPORT"}</definedName>
    <definedName name="ufh" localSheetId="9" hidden="1">{#N/A,#N/A,FALSE,"SUMMARY REPORT"}</definedName>
    <definedName name="ufh" hidden="1">{#N/A,#N/A,FALSE,"SUMMARY REPORT"}</definedName>
    <definedName name="uio" localSheetId="13" hidden="1">{#N/A,#N/A,FALSE,"SUMMARY REPORT"}</definedName>
    <definedName name="uio" localSheetId="9" hidden="1">{#N/A,#N/A,FALSE,"SUMMARY REPORT"}</definedName>
    <definedName name="uio" hidden="1">{#N/A,#N/A,FALSE,"SUMMARY REPORT"}</definedName>
    <definedName name="uj" localSheetId="13" hidden="1">{"DJH3",#N/A,FALSE,"PFL00805";"PJB3",#N/A,FALSE,"PFL00805";"JMD3",#N/A,FALSE,"PFL00805";"DNB3",#N/A,FALSE,"PFL00805";"MJP3",#N/A,FALSE,"PFL00805";"RAB3",#N/A,FALSE,"PFL00805";"GJW3",#N/A,FALSE,"PFL00805";"MASTER3",#N/A,FALSE,"PFL00805"}</definedName>
    <definedName name="uj" localSheetId="9"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kdata">#REF!</definedName>
    <definedName name="Ultimate_Holding_Company">#REF!</definedName>
    <definedName name="uml" localSheetId="13" hidden="1">{#N/A,#N/A,FALSE,"SUMMARY REPORT"}</definedName>
    <definedName name="uml" localSheetId="9" hidden="1">{#N/A,#N/A,FALSE,"SUMMARY REPORT"}</definedName>
    <definedName name="uml" hidden="1">{#N/A,#N/A,FALSE,"SUMMARY REPORT"}</definedName>
    <definedName name="UNDRC">#REF!</definedName>
    <definedName name="units" localSheetId="13">#REF!</definedName>
    <definedName name="units">#REF!</definedName>
    <definedName name="UNIV">#REF!</definedName>
    <definedName name="UNPLAN_PKG">#REF!</definedName>
    <definedName name="UNRCN">#REF!</definedName>
    <definedName name="UNSALVAGE">#REF!</definedName>
    <definedName name="UNSEC_LOAN" localSheetId="13">#REF!</definedName>
    <definedName name="UNSEC_LOAN">#REF!</definedName>
    <definedName name="UOINDIAKNBASETHAISUPPLY" localSheetId="13">#REF!</definedName>
    <definedName name="UOINDIAKNBASETHAISUPPLY">#REF!</definedName>
    <definedName name="UOM" localSheetId="13">#REF!</definedName>
    <definedName name="UOM">#REF!</definedName>
    <definedName name="usa2data">#REF!</definedName>
    <definedName name="UScompanies">#REF!</definedName>
    <definedName name="USD" localSheetId="9">#REF!</definedName>
    <definedName name="USD">#REF!</definedName>
    <definedName name="USD_EX_SUMM" localSheetId="13">#REF!</definedName>
    <definedName name="USD_EX_SUMM">#REF!</definedName>
    <definedName name="USD_Rate" localSheetId="13">#REF!</definedName>
    <definedName name="USD_Rate">#REF!</definedName>
    <definedName name="USDOLLARS" localSheetId="13">#REF!</definedName>
    <definedName name="USDOLLARS">#REF!</definedName>
    <definedName name="usrPeriod">#REF!</definedName>
    <definedName name="usrUnitDesc">#REF!</definedName>
    <definedName name="usrWholeYear">#REF!</definedName>
    <definedName name="utfgcom">#REF!</definedName>
    <definedName name="UTILITY" localSheetId="13">#REF!</definedName>
    <definedName name="UTILITY" localSheetId="9">#REF!</definedName>
    <definedName name="UTILITY">#REF!</definedName>
    <definedName name="UU_control" localSheetId="13" hidden="1">{"'August 2000'!$A$1:$J$101"}</definedName>
    <definedName name="UU_control" localSheetId="9" hidden="1">{"'August 2000'!$A$1:$J$101"}</definedName>
    <definedName name="UU_control" hidden="1">{"'August 2000'!$A$1:$J$101"}</definedName>
    <definedName name="uyi" localSheetId="13" hidden="1">{#N/A,#N/A,FALSE,"SUMMARY REPORT"}</definedName>
    <definedName name="uyi" localSheetId="9" hidden="1">{#N/A,#N/A,FALSE,"SUMMARY REPORT"}</definedName>
    <definedName name="uyi" hidden="1">{#N/A,#N/A,FALSE,"SUMMARY REPORT"}</definedName>
    <definedName name="uyt" localSheetId="13" hidden="1">{#N/A,#N/A,FALSE,"SUMMARY REPORT"}</definedName>
    <definedName name="uyt" localSheetId="9" hidden="1">{#N/A,#N/A,FALSE,"SUMMARY REPORT"}</definedName>
    <definedName name="uyt" hidden="1">{#N/A,#N/A,FALSE,"SUMMARY REPORT"}</definedName>
    <definedName name="v">#REF!</definedName>
    <definedName name="V_Gawade" localSheetId="13">#REF!</definedName>
    <definedName name="V_Gawade">#REF!</definedName>
    <definedName name="Valdate">#REF!</definedName>
    <definedName name="valid" localSheetId="13">#REF!</definedName>
    <definedName name="valid">#REF!</definedName>
    <definedName name="validationr1">#REF!,#REF!,#REF!,#REF!</definedName>
    <definedName name="valor1" localSheetId="13">#REF!</definedName>
    <definedName name="valor1">#REF!</definedName>
    <definedName name="valor2" localSheetId="13">#REF!</definedName>
    <definedName name="valor2">#REF!</definedName>
    <definedName name="valquarter">#REF!</definedName>
    <definedName name="VALTHSALA" localSheetId="13">#REF!</definedName>
    <definedName name="VALTHSALA">#REF!</definedName>
    <definedName name="value" localSheetId="13">#REF!</definedName>
    <definedName name="value" localSheetId="9">#REF!</definedName>
    <definedName name="value">#REF!</definedName>
    <definedName name="value_1">3</definedName>
    <definedName name="Values_Entered" localSheetId="13">IF(Loan_Amount*Interest_Rate*Loan_Years*Loan_Start&gt;0,1,0)</definedName>
    <definedName name="Values_Entered" localSheetId="9">IF([0]!Loan_Amount*[0]!Interest_Rate*[0]!Loan_Years*[0]!Loan_Start&gt;0,1,0)</definedName>
    <definedName name="Values_Entered">IF(Loan_Amount*Interest_Rate*Loan_Years*Loan_Start&gt;0,1,0)</definedName>
    <definedName name="ValuesBSA">#REF!,#REF!,#REF!,#REF!,#REF!,#REF!</definedName>
    <definedName name="ValuesBSL" localSheetId="13">#REF!,#REF!,#REF!,#REF!,#REF!</definedName>
    <definedName name="ValuesBSL">#REF!,#REF!,#REF!,#REF!,#REF!</definedName>
    <definedName name="ValuesChecks">#REF!,#REF!</definedName>
    <definedName name="ValuesIS" localSheetId="13">#REF!,#REF!,#REF!,#REF!,#REF!,#REF!,#REF!</definedName>
    <definedName name="ValuesIS">#REF!,#REF!,#REF!,#REF!,#REF!,#REF!,#REF!</definedName>
    <definedName name="VALYEAR">#REF!</definedName>
    <definedName name="VALYEAR1">#REF!</definedName>
    <definedName name="Variances" localSheetId="13" hidden="1">{TRUE,FALSE,-1.25,-15.5,484.5,293.25,FALSE,TRUE,TRUE,TRUE,0,1,3,329,#N/A,1,21.8823529411765,2,TRUE,FALSE,3,TRUE,1,TRUE,100,"Swvu.a.","ACwvu.a.",#N/A,FALSE,FALSE,0.1,2.66,1.35,0,2,"","",TRUE,FALSE,FALSE,TRUE,1,87,#N/A,#N/A,"=R354C1:R476C10",FALSE,FALSE,FALSE,FALSE,FALSE,FALSE,5,300,300,FALSE,FALSE,TRUE,TRUE,TRUE}</definedName>
    <definedName name="Variances" localSheetId="9" hidden="1">{TRUE,FALSE,-1.25,-15.5,484.5,293.25,FALSE,TRUE,TRUE,TRUE,0,1,3,329,#N/A,1,21.8823529411765,2,TRUE,FALSE,3,TRUE,1,TRUE,100,"Swvu.a.","ACwvu.a.",#N/A,FALSE,FALSE,0.1,2.66,1.35,0,2,"","",TRUE,FALSE,FALSE,TRUE,1,87,#N/A,#N/A,"=R354C1:R476C10",FALSE,FALSE,FALSE,FALSE,FALSE,FALSE,5,300,300,FALSE,FALSE,TRUE,TRUE,TRUE}</definedName>
    <definedName name="Variances" hidden="1">{TRUE,FALSE,-1.25,-15.5,484.5,293.25,FALSE,TRUE,TRUE,TRUE,0,1,3,329,#N/A,1,21.8823529411765,2,TRUE,FALSE,3,TRUE,1,TRUE,100,"Swvu.a.","ACwvu.a.",#N/A,FALSE,FALSE,0.1,2.66,1.35,0,2,"","",TRUE,FALSE,FALSE,TRUE,1,87,#N/A,#N/A,"=R354C1:R476C10",FALSE,FALSE,FALSE,FALSE,FALSE,FALSE,5,300,300,FALSE,FALSE,TRUE,TRUE,TRUE}</definedName>
    <definedName name="VARIEXP">#REF!</definedName>
    <definedName name="VARIINST">#REF!</definedName>
    <definedName name="varioustaxes">#REF!</definedName>
    <definedName name="VARIPURC" localSheetId="13">#REF!</definedName>
    <definedName name="VARIPURC">#REF!</definedName>
    <definedName name="vat" localSheetId="13">#REF!</definedName>
    <definedName name="vat">#REF!</definedName>
    <definedName name="vbt400d" localSheetId="13">#REF!</definedName>
    <definedName name="vbt400d">#REF!</definedName>
    <definedName name="vbta">#REF!</definedName>
    <definedName name="vbtB">#REF!</definedName>
    <definedName name="vbtD">#REF!</definedName>
    <definedName name="vbtE">#REF!</definedName>
    <definedName name="vbtF">#REF!</definedName>
    <definedName name="vbtg">#REF!</definedName>
    <definedName name="vcf" localSheetId="13" hidden="1">{#N/A,#N/A,FALSE,"SUMMARY REPORT"}</definedName>
    <definedName name="vcf" localSheetId="9" hidden="1">{#N/A,#N/A,FALSE,"SUMMARY REPORT"}</definedName>
    <definedName name="vcf" hidden="1">{#N/A,#N/A,FALSE,"SUMMARY REPORT"}</definedName>
    <definedName name="vcm" localSheetId="13" hidden="1">{#N/A,#N/A,FALSE,"SUMMARY REPORT"}</definedName>
    <definedName name="vcm" localSheetId="9" hidden="1">{#N/A,#N/A,FALSE,"SUMMARY REPORT"}</definedName>
    <definedName name="vcm" hidden="1">{#N/A,#N/A,FALSE,"SUMMARY REPORT"}</definedName>
    <definedName name="VEH">#REF!</definedName>
    <definedName name="vehicle">#REF!</definedName>
    <definedName name="Venfin">#REF!</definedName>
    <definedName name="versionno">1</definedName>
    <definedName name="versionno_1">1</definedName>
    <definedName name="vf" localSheetId="13" hidden="1">{#N/A,#N/A,FALSE,"SUMMARY REPORT"}</definedName>
    <definedName name="vf" localSheetId="9" hidden="1">{#N/A,#N/A,FALSE,"SUMMARY REPORT"}</definedName>
    <definedName name="vf" hidden="1">{#N/A,#N/A,FALSE,"SUMMARY REPORT"}</definedName>
    <definedName name="vft" localSheetId="13" hidden="1">{#N/A,#N/A,FALSE,"SUMMARY REPORT"}</definedName>
    <definedName name="vft" localSheetId="9" hidden="1">{#N/A,#N/A,FALSE,"SUMMARY REPORT"}</definedName>
    <definedName name="vft" hidden="1">{#N/A,#N/A,FALSE,"SUMMARY REPORT"}</definedName>
    <definedName name="vgh" localSheetId="13" hidden="1">{#N/A,#N/A,FALSE,"SUMMARY REPORT"}</definedName>
    <definedName name="vgh" localSheetId="9" hidden="1">{#N/A,#N/A,FALSE,"SUMMARY REPORT"}</definedName>
    <definedName name="vgh" hidden="1">{#N/A,#N/A,FALSE,"SUMMARY REPORT"}</definedName>
    <definedName name="VIDHU_LAMBA">#REF!</definedName>
    <definedName name="viet" localSheetId="13">#REF!</definedName>
    <definedName name="viet">#REF!</definedName>
    <definedName name="ViewDate" localSheetId="13">#REF!</definedName>
    <definedName name="ViewDate">#REF!</definedName>
    <definedName name="ViewSheet" localSheetId="13">#REF!</definedName>
    <definedName name="ViewSheet">#REF!</definedName>
    <definedName name="VII.LAYOUT"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I.LAYOUT"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NOD_GAWADE">#REF!</definedName>
    <definedName name="Vivek">#REF!</definedName>
    <definedName name="VS">#REF!</definedName>
    <definedName name="VT_PA">#REF!</definedName>
    <definedName name="vtu">#REF!</definedName>
    <definedName name="VV" localSheetId="13" hidden="1">{#N/A,#N/A,FALSE,"Aging Summary";#N/A,#N/A,FALSE,"Ratio Analysis";#N/A,#N/A,FALSE,"Test 120 Day Accts";#N/A,#N/A,FALSE,"Tickmarks"}</definedName>
    <definedName name="VV" localSheetId="9" hidden="1">{#N/A,#N/A,FALSE,"Aging Summary";#N/A,#N/A,FALSE,"Ratio Analysis";#N/A,#N/A,FALSE,"Test 120 Day Accts";#N/A,#N/A,FALSE,"Tickmarks"}</definedName>
    <definedName name="VV" hidden="1">{#N/A,#N/A,FALSE,"Aging Summary";#N/A,#N/A,FALSE,"Ratio Analysis";#N/A,#N/A,FALSE,"Test 120 Day Accts";#N/A,#N/A,FALSE,"Tickmarks"}</definedName>
    <definedName name="vvvvv" localSheetId="13" hidden="1">{#N/A,#N/A,FALSE,"196126-0690";#N/A,#N/A,FALSE,"196126-0690";#N/A,#N/A,FALSE,"1961165-0201"}</definedName>
    <definedName name="vvvvv" localSheetId="9" hidden="1">{#N/A,#N/A,FALSE,"196126-0690";#N/A,#N/A,FALSE,"196126-0690";#N/A,#N/A,FALSE,"1961165-0201"}</definedName>
    <definedName name="vvvvv" hidden="1">{#N/A,#N/A,FALSE,"196126-0690";#N/A,#N/A,FALSE,"196126-0690";#N/A,#N/A,FALSE,"1961165-0201"}</definedName>
    <definedName name="vvvvvvvvvvv" localSheetId="13" hidden="1">{#N/A,#N/A,FALSE,"SUMMARY REPORT"}</definedName>
    <definedName name="vvvvvvvvvvv" localSheetId="9" hidden="1">{#N/A,#N/A,FALSE,"SUMMARY REPORT"}</definedName>
    <definedName name="vvvvvvvvvvv" hidden="1">{#N/A,#N/A,FALSE,"SUMMARY REPORT"}</definedName>
    <definedName name="w"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5y">#REF!</definedName>
    <definedName name="wa">#REF!</definedName>
    <definedName name="wacc" localSheetId="13">#REF!</definedName>
    <definedName name="wacc">#REF!</definedName>
    <definedName name="wacc97" localSheetId="13">#REF!</definedName>
    <definedName name="wacc97">#REF!</definedName>
    <definedName name="Wafer_Cost_00_A" localSheetId="13">#REF!</definedName>
    <definedName name="Wafer_Cost_00_A">#REF!</definedName>
    <definedName name="Wafer_Cost_00_Q1_A">#REF!</definedName>
    <definedName name="Wafer_Cost_00_Q2_A">#REF!</definedName>
    <definedName name="Wafer_Cost_00_Q3_A">#REF!</definedName>
    <definedName name="Wafer_Cost_00_Q4_A">#REF!</definedName>
    <definedName name="Wafer_Cost_01_A">#REF!</definedName>
    <definedName name="Wafer_Cost_01_Q1_A">#REF!</definedName>
    <definedName name="Wafer_Cost_01_Q2_A">#REF!</definedName>
    <definedName name="Wafer_Cost_01_Q3_A">#REF!</definedName>
    <definedName name="Wafer_Cost_01_Q4_A">#REF!</definedName>
    <definedName name="Wafer_Cost_02_A">#REF!</definedName>
    <definedName name="Wafer_Cost_02_Q1_A">#REF!</definedName>
    <definedName name="Wafer_Cost_02_Q2_A">#REF!</definedName>
    <definedName name="Wafer_Cost_02_Q3_A">#REF!</definedName>
    <definedName name="Wafer_Cost_02_Q4_A">#REF!</definedName>
    <definedName name="Wafer_DD_00_A">#REF!</definedName>
    <definedName name="Wafer_DD_00_Q1_A">#REF!</definedName>
    <definedName name="Wafer_DD_00_Q2_A">#REF!</definedName>
    <definedName name="Wafer_DD_00_Q3_A">#REF!</definedName>
    <definedName name="Wafer_DD_00_Q4_A">#REF!</definedName>
    <definedName name="Wafer_DD_01_A">#REF!</definedName>
    <definedName name="Wafer_DD_01_Q1_A">#REF!</definedName>
    <definedName name="Wafer_DD_01_Q2_A">#REF!</definedName>
    <definedName name="Wafer_DD_01_Q3_A">#REF!</definedName>
    <definedName name="Wafer_DD_01_Q4_A">#REF!</definedName>
    <definedName name="Wafer_DD_02_A">#REF!</definedName>
    <definedName name="Wafer_DD_02_Q1_A">#REF!</definedName>
    <definedName name="Wafer_DD_02_Q2_A">#REF!</definedName>
    <definedName name="Wafer_DD_02_Q3_A">#REF!</definedName>
    <definedName name="Wafer_DD_02_Q4_A">#REF!</definedName>
    <definedName name="Wafer_ID">#REF!</definedName>
    <definedName name="Wafer_LOH_00_A" localSheetId="13">#REF!</definedName>
    <definedName name="Wafer_LOH_00_A">#REF!</definedName>
    <definedName name="Wafer_LOH_00_Q1_A" localSheetId="13">#REF!</definedName>
    <definedName name="Wafer_LOH_00_Q1_A">#REF!</definedName>
    <definedName name="Wafer_LOH_00_Q2_A" localSheetId="13">#REF!</definedName>
    <definedName name="Wafer_LOH_00_Q2_A">#REF!</definedName>
    <definedName name="Wafer_LOH_00_Q3_A">#REF!</definedName>
    <definedName name="Wafer_LOH_00_Q4_A">#REF!</definedName>
    <definedName name="Wafer_LOH_01_A">#REF!</definedName>
    <definedName name="Wafer_LOH_01_Q1_A">#REF!</definedName>
    <definedName name="Wafer_LOH_01_Q2_A">#REF!</definedName>
    <definedName name="Wafer_LOH_01_Q3_A">#REF!</definedName>
    <definedName name="Wafer_LOH_01_Q4_A">#REF!</definedName>
    <definedName name="Wafer_LOH_02_A">#REF!</definedName>
    <definedName name="Wafer_LOH_02_Q1_A">#REF!</definedName>
    <definedName name="Wafer_LOH_02_Q2_A">#REF!</definedName>
    <definedName name="Wafer_LOH_02_Q3_A">#REF!</definedName>
    <definedName name="Wafer_LOH_02_Q4_A">#REF!</definedName>
    <definedName name="Wafer_Map_00_A">#REF!</definedName>
    <definedName name="Wafer_Map_00_Q1_A">#REF!</definedName>
    <definedName name="Wafer_Map_00_Q2_A">#REF!</definedName>
    <definedName name="Wafer_Map_00_Q3_A">#REF!</definedName>
    <definedName name="Wafer_Map_00_Q4_A">#REF!</definedName>
    <definedName name="Wafer_Map_01_A">#REF!</definedName>
    <definedName name="Wafer_Map_01_Q1_A">#REF!</definedName>
    <definedName name="Wafer_Map_01_Q2_A">#REF!</definedName>
    <definedName name="Wafer_Map_01_Q3_A">#REF!</definedName>
    <definedName name="Wafer_Map_01_Q4_A">#REF!</definedName>
    <definedName name="Wafer_Map_02_A">#REF!</definedName>
    <definedName name="Wafer_Map_02_Q1_A">#REF!</definedName>
    <definedName name="Wafer_Map_02_Q2_A\">#REF!</definedName>
    <definedName name="Wafer_Map_02_Q3_A">#REF!</definedName>
    <definedName name="Wafer_Map_02_Q4_A">#REF!</definedName>
    <definedName name="Wafer_NP_00_A">#REF!</definedName>
    <definedName name="Wafer_NP_00_Q1_A">#REF!</definedName>
    <definedName name="Wafer_NP_00_Q2_A">#REF!</definedName>
    <definedName name="Wafer_NP_00_Q3_A">#REF!</definedName>
    <definedName name="Wafer_NP_00_Q4_A">#REF!</definedName>
    <definedName name="Wafer_NP_01_A">#REF!</definedName>
    <definedName name="Wafer_NP_01_Q1_A">#REF!</definedName>
    <definedName name="Wafer_NP_01_Q2_A">#REF!</definedName>
    <definedName name="Wafer_NP_01_Q3_A">#REF!</definedName>
    <definedName name="Wafer_NP_01_Q4_A">#REF!</definedName>
    <definedName name="Wafer_NP_02_A">#REF!</definedName>
    <definedName name="Wafer_NP_02_Q1_A">#REF!</definedName>
    <definedName name="Wafer_NP_02_Q2_A">#REF!</definedName>
    <definedName name="Wafer_NP_02_Q3_A">#REF!</definedName>
    <definedName name="Wafer_NP_02_Q4_A">#REF!</definedName>
    <definedName name="Wafer_Process">#REF!</definedName>
    <definedName name="Wafer_Size_A" localSheetId="13">#REF!</definedName>
    <definedName name="Wafer_Size_A">#REF!</definedName>
    <definedName name="Wafer_Step_00_A" localSheetId="13">#REF!</definedName>
    <definedName name="Wafer_Step_00_A">#REF!</definedName>
    <definedName name="Wafer_Step_00_Q1_A" localSheetId="13">#REF!</definedName>
    <definedName name="Wafer_Step_00_Q1_A">#REF!</definedName>
    <definedName name="Wafer_Step_00_Q2_A">#REF!</definedName>
    <definedName name="Wafer_Step_00_Q3_A">#REF!</definedName>
    <definedName name="Wafer_Step_00_Q4_A">#REF!</definedName>
    <definedName name="Wafer_Step_01_A">#REF!</definedName>
    <definedName name="Wafer_Step_01_Q1_A">#REF!</definedName>
    <definedName name="Wafer_Step_01_Q2_A">#REF!</definedName>
    <definedName name="Wafer_Step_01_Q3_A">#REF!</definedName>
    <definedName name="Wafer_Step_01_Q4_A">#REF!</definedName>
    <definedName name="Wafer_Step_02_A">#REF!</definedName>
    <definedName name="Wafer_Step_02_Q1_A">#REF!</definedName>
    <definedName name="Wafer_Step_02_Q2_A">#REF!</definedName>
    <definedName name="Wafer_Step_02_Q3_A">#REF!</definedName>
    <definedName name="Wafer_Step_02_Q4_A">#REF!</definedName>
    <definedName name="WAFINPRINT">#REF!</definedName>
    <definedName name="WAFPCS">#REF!</definedName>
    <definedName name="WAFPCSBOR">#REF!</definedName>
    <definedName name="WAFPCSPRINT">#REF!</definedName>
    <definedName name="WAFQTRPRINT">#REF!</definedName>
    <definedName name="Waiting">"Picture 1"</definedName>
    <definedName name="waresd" localSheetId="13" hidden="1">{#N/A,#N/A,FALSE,"Aging Summary";#N/A,#N/A,FALSE,"Ratio Analysis";#N/A,#N/A,FALSE,"Test 120 Day Accts";#N/A,#N/A,FALSE,"Tickmarks"}</definedName>
    <definedName name="waresd" localSheetId="9" hidden="1">{#N/A,#N/A,FALSE,"Aging Summary";#N/A,#N/A,FALSE,"Ratio Analysis";#N/A,#N/A,FALSE,"Test 120 Day Accts";#N/A,#N/A,FALSE,"Tickmarks"}</definedName>
    <definedName name="waresd" hidden="1">{#N/A,#N/A,FALSE,"Aging Summary";#N/A,#N/A,FALSE,"Ratio Analysis";#N/A,#N/A,FALSE,"Test 120 Day Accts";#N/A,#N/A,FALSE,"Tickmarks"}</definedName>
    <definedName name="wat">#REF!</definedName>
    <definedName name="waterway" localSheetId="13">#REF!</definedName>
    <definedName name="waterway">#REF!</definedName>
    <definedName name="WAvgAge">#REF!</definedName>
    <definedName name="WAvgRUL">#REF!</definedName>
    <definedName name="WA型代" localSheetId="13">#REF!</definedName>
    <definedName name="WA型代">#REF!</definedName>
    <definedName name="WA型費" localSheetId="13">#REF!</definedName>
    <definedName name="WA型費">#REF!</definedName>
    <definedName name="WA素子数" localSheetId="13">#REF!</definedName>
    <definedName name="WA素子数">#REF!</definedName>
    <definedName name="WA部品費">#REF!</definedName>
    <definedName name="wb">#REF!</definedName>
    <definedName name="WC_407" localSheetId="13">#REF!</definedName>
    <definedName name="WC_407">#REF!</definedName>
    <definedName name="WCD_ENG">#REF!</definedName>
    <definedName name="WCD_MKTG">#REF!</definedName>
    <definedName name="wd">#REF!</definedName>
    <definedName name="we" localSheetId="13" hidden="1">{"F1 PAGE 1",#N/A,FALSE,"F1";"F1 PAGE 2",#N/A,FALSE,"F1"}</definedName>
    <definedName name="we" localSheetId="9" hidden="1">{"F1 PAGE 1",#N/A,FALSE,"F1";"F1 PAGE 2",#N/A,FALSE,"F1"}</definedName>
    <definedName name="we" hidden="1">{"F1 PAGE 1",#N/A,FALSE,"F1";"F1 PAGE 2",#N/A,FALSE,"F1"}</definedName>
    <definedName name="wen" localSheetId="13" hidden="1">{#N/A,#N/A,FALSE,"SUMMARY REPORT"}</definedName>
    <definedName name="wen" localSheetId="9" hidden="1">{#N/A,#N/A,FALSE,"SUMMARY REPORT"}</definedName>
    <definedName name="wen" hidden="1">{#N/A,#N/A,FALSE,"SUMMARY REPORT"}</definedName>
    <definedName name="wer" localSheetId="13" hidden="1">{#N/A,#N/A,FALSE,"Staffnos &amp; cost"}</definedName>
    <definedName name="wer" localSheetId="9" hidden="1">{#N/A,#N/A,FALSE,"Staffnos &amp; cost"}</definedName>
    <definedName name="wer" hidden="1">{#N/A,#N/A,FALSE,"Staffnos &amp; cost"}</definedName>
    <definedName name="werwerwerwe" hidden="1">#REF!</definedName>
    <definedName name="werwerwerwere" hidden="1">#REF!</definedName>
    <definedName name="werwerwerwerwerwe" hidden="1">#REF!</definedName>
    <definedName name="werwrwerwerer" hidden="1">#REF!</definedName>
    <definedName name="wetw">#REF!</definedName>
    <definedName name="wgb" localSheetId="13" hidden="1">{#N/A,#N/A,FALSE,"SUMMARY REPORT"}</definedName>
    <definedName name="wgb" localSheetId="9" hidden="1">{#N/A,#N/A,FALSE,"SUMMARY REPORT"}</definedName>
    <definedName name="wgb" hidden="1">{#N/A,#N/A,FALSE,"SUMMARY REPORT"}</definedName>
    <definedName name="Width">4</definedName>
    <definedName name="wlkednjfc" localSheetId="13" hidden="1">{#N/A,#N/A,FALSE,"Aging Summary";#N/A,#N/A,FALSE,"Ratio Analysis";#N/A,#N/A,FALSE,"Test 120 Day Accts";#N/A,#N/A,FALSE,"Tickmarks"}</definedName>
    <definedName name="wlkednjfc" localSheetId="9" hidden="1">{#N/A,#N/A,FALSE,"Aging Summary";#N/A,#N/A,FALSE,"Ratio Analysis";#N/A,#N/A,FALSE,"Test 120 Day Accts";#N/A,#N/A,FALSE,"Tickmarks"}</definedName>
    <definedName name="wlkednjfc" hidden="1">{#N/A,#N/A,FALSE,"Aging Summary";#N/A,#N/A,FALSE,"Ratio Analysis";#N/A,#N/A,FALSE,"Test 120 Day Accts";#N/A,#N/A,FALSE,"Tickmarks"}</definedName>
    <definedName name="wobop">#REF!</definedName>
    <definedName name="WOBSi">#REF!</definedName>
    <definedName name="words">#REF!</definedName>
    <definedName name="workexmw_pa" localSheetId="13">#REF!</definedName>
    <definedName name="workexmw_pa">#REF!</definedName>
    <definedName name="WP" localSheetId="13">#REF!</definedName>
    <definedName name="WP">#REF!</definedName>
    <definedName name="wqe" localSheetId="13" hidden="1">{"'Graphic'!$A$1:$S$52"}</definedName>
    <definedName name="wqe" localSheetId="9" hidden="1">{"'Graphic'!$A$1:$S$52"}</definedName>
    <definedName name="wqe" hidden="1">{"'Graphic'!$A$1:$S$52"}</definedName>
    <definedName name="WRN" localSheetId="13" hidden="1">{#N/A,#N/A,TRUE,"4-12 '03"}</definedName>
    <definedName name="WRN" localSheetId="9" hidden="1">{#N/A,#N/A,TRUE,"4-12 '03"}</definedName>
    <definedName name="WRN" hidden="1">{#N/A,#N/A,TRUE,"4-12 '03"}</definedName>
    <definedName name="wrn.1996._.PROPERTY._.AND._.BUSINESS._.INTERRUPTION._.VALUES." localSheetId="13" hidden="1">{#N/A,#N/A,TRUE,"96PROP"}</definedName>
    <definedName name="wrn.1996._.PROPERTY._.AND._.BUSINESS._.INTERRUPTION._.VALUES." localSheetId="9" hidden="1">{#N/A,#N/A,TRUE,"96PROP"}</definedName>
    <definedName name="wrn.1996._.PROPERTY._.AND._.BUSINESS._.INTERRUPTION._.VALUES." hidden="1">{#N/A,#N/A,TRUE,"96PROP"}</definedName>
    <definedName name="wrn.ABC." localSheetId="13" hidden="1">{#N/A,#N/A,TRUE,"BSHEETP&amp;L"}</definedName>
    <definedName name="wrn.ABC." localSheetId="9" hidden="1">{#N/A,#N/A,TRUE,"BSHEETP&amp;L"}</definedName>
    <definedName name="wrn.ABC." hidden="1">{#N/A,#N/A,TRUE,"BSHEETP&amp;L"}</definedName>
    <definedName name="wrn.Aging._.and._.Trend._.Analysis." localSheetId="13"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Exhibits." localSheetId="13"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Exhibits." localSheetId="9"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Exhibits."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STATEMENTS." localSheetId="13" hidden="1">{"BALANCE SHEET",#N/A,FALSE,"Balance Sheet";"INCOME STATEMENT",#N/A,FALSE,"Income Statement";"STMT OF CASH FLOWS",#N/A,FALSE,"Cash Flows Indirect";"PARTNERS CAPITAL STMT",#N/A,FALSE,"Partners Capital"}</definedName>
    <definedName name="wrn.ALL._.STATEMENTS." localSheetId="9" hidden="1">{"BALANCE SHEET",#N/A,FALSE,"Balance Sheet";"INCOME STATEMENT",#N/A,FALSE,"Income Statement";"STMT OF CASH FLOWS",#N/A,FALSE,"Cash Flows Indirect";"PARTNERS CAPITAL STMT",#N/A,FALSE,"Partners Capital"}</definedName>
    <definedName name="wrn.ALL._.STATEMENTS." hidden="1">{"BALANCE SHEET",#N/A,FALSE,"Balance Sheet";"INCOME STATEMENT",#N/A,FALSE,"Income Statement";"STMT OF CASH FLOWS",#N/A,FALSE,"Cash Flows Indirect";"PARTNERS CAPITAL STMT",#N/A,FALSE,"Partners Capital"}</definedName>
    <definedName name="wrn.APCT." localSheetId="13" hidden="1">{"Page1",#N/A,FALSE,"APCT";"Page2",#N/A,FALSE,"APCT"}</definedName>
    <definedName name="wrn.APCT." localSheetId="9" hidden="1">{"Page1",#N/A,FALSE,"APCT";"Page2",#N/A,FALSE,"APCT"}</definedName>
    <definedName name="wrn.APCT." hidden="1">{"Page1",#N/A,FALSE,"APCT";"Page2",#N/A,FALSE,"APCT"}</definedName>
    <definedName name="wrn.APL." localSheetId="13" hidden="1">{"Page1",#N/A,FALSE,"APL";"Page2",#N/A,FALSE,"APL"}</definedName>
    <definedName name="wrn.APL." localSheetId="9" hidden="1">{"Page1",#N/A,FALSE,"APL";"Page2",#N/A,FALSE,"APL"}</definedName>
    <definedName name="wrn.APL." hidden="1">{"Page1",#N/A,FALSE,"APL";"Page2",#N/A,FALSE,"APL"}</definedName>
    <definedName name="wrn.assumptions." localSheetId="13" hidden="1">{"assumptions1",#N/A,FALSE,"Valuation Analysis";"assumptions2",#N/A,FALSE,"Valuation Analysis"}</definedName>
    <definedName name="wrn.assumptions." localSheetId="9" hidden="1">{"assumptions1",#N/A,FALSE,"Valuation Analysis";"assumptions2",#N/A,FALSE,"Valuation Analysis"}</definedName>
    <definedName name="wrn.assumptions." hidden="1">{"assumptions1",#N/A,FALSE,"Valuation Analysis";"assumptions2",#N/A,FALSE,"Valuation Analysis"}</definedName>
    <definedName name="wrn.balance._.sheet." localSheetId="13" hidden="1">{"bs",#N/A,FALSE,"SCF"}</definedName>
    <definedName name="wrn.balance._.sheet." localSheetId="9" hidden="1">{"bs",#N/A,FALSE,"SCF"}</definedName>
    <definedName name="wrn.balance._.sheet." hidden="1">{"bs",#N/A,FALSE,"SCF"}</definedName>
    <definedName name="wrn.Balance._.Sheet._.Set." localSheetId="13" hidden="1">{"Balance Sheet",#N/A,FALSE,"bsheet";"Assets Schedule",#N/A,FALSE,"bsheet";"Notes",#N/A,FALSE,"bsheet";"Abstract",#N/A,FALSE,"bsheet";"Cash Flow",#N/A,FALSE,"bsheet";"groupings",#N/A,FALSE,"bsheet";"Stocks",#N/A,FALSE,"bsheet";"Trial",#N/A,FALSE,"bsheet"}</definedName>
    <definedName name="wrn.Balance._.Sheet._.Set." localSheetId="9" hidden="1">{"Balance Sheet",#N/A,FALSE,"bsheet";"Assets Schedule",#N/A,FALSE,"bsheet";"Notes",#N/A,FALSE,"bsheet";"Abstract",#N/A,FALSE,"bsheet";"Cash Flow",#N/A,FALSE,"bsheet";"groupings",#N/A,FALSE,"bsheet";"Stocks",#N/A,FALSE,"bsheet";"Trial",#N/A,FALSE,"bsheet"}</definedName>
    <definedName name="wrn.Balance._.Sheet._.Set." hidden="1">{"Balance Sheet",#N/A,FALSE,"bsheet";"Assets Schedule",#N/A,FALSE,"bsheet";"Notes",#N/A,FALSE,"bsheet";"Abstract",#N/A,FALSE,"bsheet";"Cash Flow",#N/A,FALSE,"bsheet";"groupings",#N/A,FALSE,"bsheet";"Stocks",#N/A,FALSE,"bsheet";"Trial",#N/A,FALSE,"bsheet"}</definedName>
    <definedName name="wrn.Book." localSheetId="13" hidden="1">{"EVA",#N/A,FALSE,"SMT2";#N/A,#N/A,FALSE,"Summary";#N/A,#N/A,FALSE,"Graphs";#N/A,#N/A,FALSE,"4 Panel"}</definedName>
    <definedName name="wrn.Book." localSheetId="9" hidden="1">{"EVA",#N/A,FALSE,"SMT2";#N/A,#N/A,FALSE,"Summary";#N/A,#N/A,FALSE,"Graphs";#N/A,#N/A,FALSE,"4 Panel"}</definedName>
    <definedName name="wrn.Book." hidden="1">{"EVA",#N/A,FALSE,"SMT2";#N/A,#N/A,FALSE,"Summary";#N/A,#N/A,FALSE,"Graphs";#N/A,#N/A,FALSE,"4 Panel"}</definedName>
    <definedName name="wrn.Book._1" localSheetId="13" hidden="1">{"EVA",#N/A,FALSE,"SMT2";#N/A,#N/A,FALSE,"Summary";#N/A,#N/A,FALSE,"Graphs";#N/A,#N/A,FALSE,"4 Panel"}</definedName>
    <definedName name="wrn.Book._1" localSheetId="9" hidden="1">{"EVA",#N/A,FALSE,"SMT2";#N/A,#N/A,FALSE,"Summary";#N/A,#N/A,FALSE,"Graphs";#N/A,#N/A,FALSE,"4 Panel"}</definedName>
    <definedName name="wrn.Book._1" hidden="1">{"EVA",#N/A,FALSE,"SMT2";#N/A,#N/A,FALSE,"Summary";#N/A,#N/A,FALSE,"Graphs";#N/A,#N/A,FALSE,"4 Panel"}</definedName>
    <definedName name="wrn.bs1." localSheetId="13" hidden="1">{"bs",#N/A,FALSE,"BS";"pl",#N/A,FALSE,"PL"}</definedName>
    <definedName name="wrn.bs1." localSheetId="9" hidden="1">{"bs",#N/A,FALSE,"BS";"pl",#N/A,FALSE,"PL"}</definedName>
    <definedName name="wrn.bs1." hidden="1">{"bs",#N/A,FALSE,"BS";"pl",#N/A,FALSE,"PL"}</definedName>
    <definedName name="wrn.bsall." localSheetId="13" hidden="1">{"bs",#N/A,FALSE,"BS";"pl",#N/A,FALSE,"PL";"res",#N/A,FALSE,"S.CAP,RES";"loans",#N/A,FALSE,"Loans";"inv",#N/A,FALSE,"C.Assets";"fa",#N/A,FALSE,"F.Assets";"ca",#N/A,FALSE,"C.Assets";"cl",#N/A,FALSE,"CL,Sales,Income";"ovh",#N/A,FALSE,"OVH"}</definedName>
    <definedName name="wrn.bsall." localSheetId="9" hidden="1">{"bs",#N/A,FALSE,"BS";"pl",#N/A,FALSE,"PL";"res",#N/A,FALSE,"S.CAP,RES";"loans",#N/A,FALSE,"Loans";"inv",#N/A,FALSE,"C.Assets";"fa",#N/A,FALSE,"F.Assets";"ca",#N/A,FALSE,"C.Assets";"cl",#N/A,FALSE,"CL,Sales,Income";"ovh",#N/A,FALSE,"OVH"}</definedName>
    <definedName name="wrn.bsall." hidden="1">{"bs",#N/A,FALSE,"BS";"pl",#N/A,FALSE,"PL";"res",#N/A,FALSE,"S.CAP,RES";"loans",#N/A,FALSE,"Loans";"inv",#N/A,FALSE,"C.Assets";"fa",#N/A,FALSE,"F.Assets";"ca",#N/A,FALSE,"C.Assets";"cl",#N/A,FALSE,"CL,Sales,Income";"ovh",#N/A,FALSE,"OVH"}</definedName>
    <definedName name="wrn.Complete." localSheetId="13" hidden="1">{#N/A,#N/A,FALSE,"SMT1";#N/A,#N/A,FALSE,"SMT2";#N/A,#N/A,FALSE,"Summary";#N/A,#N/A,FALSE,"Graphs";#N/A,#N/A,FALSE,"4 Panel"}</definedName>
    <definedName name="wrn.Complete." localSheetId="9" hidden="1">{#N/A,#N/A,FALSE,"SMT1";#N/A,#N/A,FALSE,"SMT2";#N/A,#N/A,FALSE,"Summary";#N/A,#N/A,FALSE,"Graphs";#N/A,#N/A,FALSE,"4 Panel"}</definedName>
    <definedName name="wrn.Complete." hidden="1">{#N/A,#N/A,FALSE,"SMT1";#N/A,#N/A,FALSE,"SMT2";#N/A,#N/A,FALSE,"Summary";#N/A,#N/A,FALSE,"Graphs";#N/A,#N/A,FALSE,"4 Panel"}</definedName>
    <definedName name="wrn.Complete._.Set." localSheetId="13" hidden="1">{#N/A,#N/A,FALSE,"Full";#N/A,#N/A,FALSE,"Half";#N/A,#N/A,FALSE,"Op Expenses";#N/A,#N/A,FALSE,"Cap Charge";#N/A,#N/A,FALSE,"Cost C";#N/A,#N/A,FALSE,"PP&amp;E";#N/A,#N/A,FALSE,"R&amp;D"}</definedName>
    <definedName name="wrn.Complete._.Set." localSheetId="9"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1" localSheetId="13" hidden="1">{#N/A,#N/A,FALSE,"Full";#N/A,#N/A,FALSE,"Half";#N/A,#N/A,FALSE,"Op Expenses";#N/A,#N/A,FALSE,"Cap Charge";#N/A,#N/A,FALSE,"Cost C";#N/A,#N/A,FALSE,"PP&amp;E";#N/A,#N/A,FALSE,"R&amp;D"}</definedName>
    <definedName name="wrn.Complete._.Set._1" localSheetId="9"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localSheetId="13" hidden="1">{#N/A,#N/A,FALSE,"SMT1";#N/A,#N/A,FALSE,"SMT2";#N/A,#N/A,FALSE,"Summary";#N/A,#N/A,FALSE,"Graphs";#N/A,#N/A,FALSE,"4 Panel"}</definedName>
    <definedName name="wrn.Complete._1" localSheetId="9" hidden="1">{#N/A,#N/A,FALSE,"SMT1";#N/A,#N/A,FALSE,"SMT2";#N/A,#N/A,FALSE,"Summary";#N/A,#N/A,FALSE,"Graphs";#N/A,#N/A,FALSE,"4 Panel"}</definedName>
    <definedName name="wrn.Complete._1" hidden="1">{#N/A,#N/A,FALSE,"SMT1";#N/A,#N/A,FALSE,"SMT2";#N/A,#N/A,FALSE,"Summary";#N/A,#N/A,FALSE,"Graphs";#N/A,#N/A,FALSE,"4 Panel"}</definedName>
    <definedName name="wrn.Computation._.3CD._.Details." localSheetId="13" hidden="1">{"Computation Tax",#N/A,FALSE,"43B";"Dep I.Tax",#N/A,FALSE,"43B";"I Tax Losses",#N/A,FALSE,"43B";"Annex-III 3CD",#N/A,FALSE,"43B";"Cash Payments",#N/A,FALSE,"43B";"43B",#N/A,FALSE,"43B"}</definedName>
    <definedName name="wrn.Computation._.3CD._.Details." localSheetId="9" hidden="1">{"Computation Tax",#N/A,FALSE,"43B";"Dep I.Tax",#N/A,FALSE,"43B";"I Tax Losses",#N/A,FALSE,"43B";"Annex-III 3CD",#N/A,FALSE,"43B";"Cash Payments",#N/A,FALSE,"43B";"43B",#N/A,FALSE,"43B"}</definedName>
    <definedName name="wrn.Computation._.3CD._.Details." hidden="1">{"Computation Tax",#N/A,FALSE,"43B";"Dep I.Tax",#N/A,FALSE,"43B";"I Tax Losses",#N/A,FALSE,"43B";"Annex-III 3CD",#N/A,FALSE,"43B";"Cash Payments",#N/A,FALSE,"43B";"43B",#N/A,FALSE,"43B"}</definedName>
    <definedName name="wrn.contributory._.asset._.charges." localSheetId="13" hidden="1">{"contributory1",#N/A,FALSE,"Contributory Assets Detail";"contributory2",#N/A,FALSE,"Contributory Assets Detail"}</definedName>
    <definedName name="wrn.contributory._.asset._.charges." localSheetId="9" hidden="1">{"contributory1",#N/A,FALSE,"Contributory Assets Detail";"contributory2",#N/A,FALSE,"Contributory Assets Detail"}</definedName>
    <definedName name="wrn.contributory._.asset._.charges." hidden="1">{"contributory1",#N/A,FALSE,"Contributory Assets Detail";"contributory2",#N/A,FALSE,"Contributory Assets Detail"}</definedName>
    <definedName name="wrn.COSA._.FS._.국문." localSheetId="13" hidden="1">{#N/A,#N/A,FALSE,"BS";#N/A,#N/A,FALSE,"PL";#N/A,#N/A,FALSE,"처분";#N/A,#N/A,FALSE,"현금";#N/A,#N/A,FALSE,"매출";#N/A,#N/A,FALSE,"원가";#N/A,#N/A,FALSE,"경영"}</definedName>
    <definedName name="wrn.COSA._.FS._.국문." localSheetId="9"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data." localSheetId="13" hidden="1">{#N/A,#N/A,FALSE,"DATA"}</definedName>
    <definedName name="wrn.data." localSheetId="9" hidden="1">{#N/A,#N/A,FALSE,"DATA"}</definedName>
    <definedName name="wrn.data." hidden="1">{#N/A,#N/A,FALSE,"DATA"}</definedName>
    <definedName name="wrn.datapak." localSheetId="13" hidden="1">{#N/A,#N/A,FALSE,"Status of Projects";#N/A,#N/A,FALSE,"CEA-TEC";#N/A,#N/A,FALSE,"U-Constr.";#N/A,#N/A,FALSE,"summary";#N/A,#N/A,FALSE,"PPP-3 yrs"}</definedName>
    <definedName name="wrn.datapak." localSheetId="9" hidden="1">{#N/A,#N/A,FALSE,"Status of Projects";#N/A,#N/A,FALSE,"CEA-TEC";#N/A,#N/A,FALSE,"U-Constr.";#N/A,#N/A,FALSE,"summary";#N/A,#N/A,FALSE,"PPP-3 yrs"}</definedName>
    <definedName name="wrn.datapak." hidden="1">{#N/A,#N/A,FALSE,"Status of Projects";#N/A,#N/A,FALSE,"CEA-TEC";#N/A,#N/A,FALSE,"U-Constr.";#N/A,#N/A,FALSE,"summary";#N/A,#N/A,FALSE,"PPP-3 yrs"}</definedName>
    <definedName name="wrn.datapak._1" localSheetId="13" hidden="1">{#N/A,#N/A,FALSE,"Status of Projects";#N/A,#N/A,FALSE,"CEA-TEC";#N/A,#N/A,FALSE,"U-Constr.";#N/A,#N/A,FALSE,"summary";#N/A,#N/A,FALSE,"PPP-3 yrs"}</definedName>
    <definedName name="wrn.datapak._1" localSheetId="9" hidden="1">{#N/A,#N/A,FALSE,"Status of Projects";#N/A,#N/A,FALSE,"CEA-TEC";#N/A,#N/A,FALSE,"U-Constr.";#N/A,#N/A,FALSE,"summary";#N/A,#N/A,FALSE,"PPP-3 yrs"}</definedName>
    <definedName name="wrn.datapak._1" hidden="1">{#N/A,#N/A,FALSE,"Status of Projects";#N/A,#N/A,FALSE,"CEA-TEC";#N/A,#N/A,FALSE,"U-Constr.";#N/A,#N/A,FALSE,"summary";#N/A,#N/A,FALSE,"PPP-3 yrs"}</definedName>
    <definedName name="wrn.DDD."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nso." localSheetId="13" hidden="1">{#N/A,#N/A,FALSE,"196126-0690";#N/A,#N/A,FALSE,"196126-0690";#N/A,#N/A,FALSE,"1961165-0201"}</definedName>
    <definedName name="wrn.denso." localSheetId="9" hidden="1">{#N/A,#N/A,FALSE,"196126-0690";#N/A,#N/A,FALSE,"196126-0690";#N/A,#N/A,FALSE,"1961165-0201"}</definedName>
    <definedName name="wrn.denso." hidden="1">{#N/A,#N/A,FALSE,"196126-0690";#N/A,#N/A,FALSE,"196126-0690";#N/A,#N/A,FALSE,"1961165-0201"}</definedName>
    <definedName name="wrn.documentation." localSheetId="13" hidden="1">{"documentation1",#N/A,FALSE,"Documentation";"documentation2",#N/A,FALSE,"Documentation"}</definedName>
    <definedName name="wrn.documentation." localSheetId="9" hidden="1">{"documentation1",#N/A,FALSE,"Documentation";"documentation2",#N/A,FALSE,"Documentation"}</definedName>
    <definedName name="wrn.documentation." hidden="1">{"documentation1",#N/A,FALSE,"Documentation";"documentation2",#N/A,FALSE,"Documentation"}</definedName>
    <definedName name="wrn.EntitiesWithReclasses." localSheetId="13" hidden="1">{"page1",#N/A,FALSE,"EntitiesWithReclasses";"page2",#N/A,FALSE,"EntitiesWithReclasses";"page3",#N/A,FALSE,"EntitiesWithReclasses";"page4",#N/A,FALSE,"EntitiesWithReclasses";"page5",#N/A,FALSE,"EntitiesWithReclasses";"page6",#N/A,FALSE,"EntitiesWithReclasses"}</definedName>
    <definedName name="wrn.EntitiesWithReclasses." localSheetId="9"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xhibit_draft_report." localSheetId="13" hidden="1">{"Historic",#N/A,FALSE,"Historic IS";"BS",#N/A,FALSE,"DCF BS conversion";"Market_summary_2",#N/A,FALSE,"Market summary";"GCM_summary",#N/A,FALSE,"Market approach";"DCF",#N/A,FALSE,"DCF Projected IS unlevered";"DCF_value",#N/A,FALSE,"DCF Indications of value"}</definedName>
    <definedName name="wrn.Exhibit_draft_report." localSheetId="9" hidden="1">{"Historic",#N/A,FALSE,"Historic IS";"BS",#N/A,FALSE,"DCF BS conversion";"Market_summary_2",#N/A,FALSE,"Market summary";"GCM_summary",#N/A,FALSE,"Market approach";"DCF",#N/A,FALSE,"DCF Projected IS unlevered";"DCF_value",#N/A,FALSE,"DCF Indications of value"}</definedName>
    <definedName name="wrn.Exhibit_draft_report." hidden="1">{"Historic",#N/A,FALSE,"Historic IS";"BS",#N/A,FALSE,"DCF BS conversion";"Market_summary_2",#N/A,FALSE,"Market summary";"GCM_summary",#N/A,FALSE,"Market approach";"DCF",#N/A,FALSE,"DCF Projected IS unlevered";"DCF_value",#N/A,FALSE,"DCF Indications of value"}</definedName>
    <definedName name="wrn.EXHIBITS." localSheetId="13"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HIBITS." localSheetId="9"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F1._.PRINT." localSheetId="13" hidden="1">{"F1 PAGE 1",#N/A,FALSE,"F1";"F1 PAGE 2",#N/A,FALSE,"F1"}</definedName>
    <definedName name="wrn.F1._.PRINT." localSheetId="9" hidden="1">{"F1 PAGE 1",#N/A,FALSE,"F1";"F1 PAGE 2",#N/A,FALSE,"F1"}</definedName>
    <definedName name="wrn.F1._.PRINT." hidden="1">{"F1 PAGE 1",#N/A,FALSE,"F1";"F1 PAGE 2",#N/A,FALSE,"F1"}</definedName>
    <definedName name="wrn.FOOTNOTES." localSheetId="13" hidden="1">{"Footnotespg1",#N/A,FALSE,"Footnotes";"Footnotespg2",#N/A,FALSE,"Footnotes"}</definedName>
    <definedName name="wrn.FOOTNOTES." localSheetId="9" hidden="1">{"Footnotespg1",#N/A,FALSE,"Footnotes";"Footnotespg2",#N/A,FALSE,"Footnotes"}</definedName>
    <definedName name="wrn.FOOTNOTES." hidden="1">{"Footnotespg1",#N/A,FALSE,"Footnotes";"Footnotespg2",#N/A,FALSE,"Footnotes"}</definedName>
    <definedName name="wrn.Ful._.Set." localSheetId="13" hidden="1">{"Bsheet",#N/A,FALSE,"Details";"P&amp;L",#N/A,FALSE,"Details";"Schedule",#N/A,FALSE,"Details";"Details",#N/A,FALSE,"Details"}</definedName>
    <definedName name="wrn.Ful._.Set." localSheetId="9" hidden="1">{"Bsheet",#N/A,FALSE,"Details";"P&amp;L",#N/A,FALSE,"Details";"Schedule",#N/A,FALSE,"Details";"Details",#N/A,FALSE,"Details"}</definedName>
    <definedName name="wrn.Ful._.Set." hidden="1">{"Bsheet",#N/A,FALSE,"Details";"P&amp;L",#N/A,FALSE,"Details";"Schedule",#N/A,FALSE,"Details";"Details",#N/A,FALSE,"Details"}</definedName>
    <definedName name="wrn.Full._.Set." localSheetId="13" hidden="1">{"Bsheet",#N/A,FALSE,"Details";"P&amp;l",#N/A,FALSE,"Details";"Schedule",#N/A,FALSE,"Details";"Details",#N/A,FALSE,"Details";"Annexue II",#N/A,FALSE,"Details";"Branch Bs",#N/A,FALSE,"Details";"Branch PL",#N/A,FALSE,"Details"}</definedName>
    <definedName name="wrn.Full._.Set." localSheetId="9" hidden="1">{"Bsheet",#N/A,FALSE,"Details";"P&amp;l",#N/A,FALSE,"Details";"Schedule",#N/A,FALSE,"Details";"Details",#N/A,FALSE,"Details";"Annexue II",#N/A,FALSE,"Details";"Branch Bs",#N/A,FALSE,"Details";"Branch PL",#N/A,FALSE,"Details"}</definedName>
    <definedName name="wrn.Full._.Set." hidden="1">{"Bsheet",#N/A,FALSE,"Details";"P&amp;l",#N/A,FALSE,"Details";"Schedule",#N/A,FALSE,"Details";"Details",#N/A,FALSE,"Details";"Annexue II",#N/A,FALSE,"Details";"Branch Bs",#N/A,FALSE,"Details";"Branch PL",#N/A,FALSE,"Details"}</definedName>
    <definedName name="wrn.FY97QTR." localSheetId="13" hidden="1">{"WCD",#N/A,FALSE,"WCD Qtr ";"GPS",#N/A,FALSE,"GPS Qtr";"OTHER",#N/A,FALSE,"OTHER";"DCT",#N/A,FALSE,"DCT Qtr ";"GSM",#N/A,FALSE,"GSM Qtr ";"PHS",#N/A,FALSE,"PHS  Qtr";"COMPONENTS",#N/A,FALSE,"Comp Qtr  "}</definedName>
    <definedName name="wrn.FY97QTR." localSheetId="9" hidden="1">{"WCD",#N/A,FALSE,"WCD Qtr ";"GPS",#N/A,FALSE,"GPS Qtr";"OTHER",#N/A,FALSE,"OTHER";"DCT",#N/A,FALSE,"DCT Qtr ";"GSM",#N/A,FALSE,"GSM Qtr ";"PHS",#N/A,FALSE,"PHS  Qtr";"COMPONENTS",#N/A,FALSE,"Comp Qtr  "}</definedName>
    <definedName name="wrn.FY97QTR." hidden="1">{"WCD",#N/A,FALSE,"WCD Qtr ";"GPS",#N/A,FALSE,"GPS Qtr";"OTHER",#N/A,FALSE,"OTHER";"DCT",#N/A,FALSE,"DCT Qtr ";"GSM",#N/A,FALSE,"GSM Qtr ";"PHS",#N/A,FALSE,"PHS  Qtr";"COMPONENTS",#N/A,FALSE,"Comp Qtr  "}</definedName>
    <definedName name="wrn.GGR._.Network._.Exhibit." localSheetId="13" hidden="1">{"Network Summary",#N/A,TRUE,"Summary";"Piping Summary",#N/A,TRUE," Piping";"Meters Summary",#N/A,TRUE,"Meters &amp; Connections";"Connections Summary",#N/A,TRUE,"Meters &amp; Connections";"Stations Summary",#N/A,TRUE,"Stations Pivot"}</definedName>
    <definedName name="wrn.GGR._.Network._.Exhibit." localSheetId="9"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ross._.margin._.detail." localSheetId="13" hidden="1">{"gross_margin1",#N/A,FALSE,"Gross Margin Detail";"gross_margin2",#N/A,FALSE,"Gross Margin Detail"}</definedName>
    <definedName name="wrn.gross._.margin._.detail." localSheetId="9" hidden="1">{"gross_margin1",#N/A,FALSE,"Gross Margin Detail";"gross_margin2",#N/A,FALSE,"Gross Margin Detail"}</definedName>
    <definedName name="wrn.gross._.margin._.detail." hidden="1">{"gross_margin1",#N/A,FALSE,"Gross Margin Detail";"gross_margin2",#N/A,FALSE,"Gross Margin Detail"}</definedName>
    <definedName name="wrn.historical._.performance." localSheetId="13" hidden="1">{"historical acquirer",#N/A,FALSE,"Historical Performance";"historical target",#N/A,FALSE,"Historical Performance"}</definedName>
    <definedName name="wrn.historical._.performance." localSheetId="9" hidden="1">{"historical acquirer",#N/A,FALSE,"Historical Performance";"historical target",#N/A,FALSE,"Historical Performance"}</definedName>
    <definedName name="wrn.historical._.performance." hidden="1">{"historical acquirer",#N/A,FALSE,"Historical Performance";"historical target",#N/A,FALSE,"Historical Performance"}</definedName>
    <definedName name="wrn.INCOME._.STATEMENT." localSheetId="13" hidden="1">{"INCOME STATEMENT",#N/A,FALSE,"Income Statement"}</definedName>
    <definedName name="wrn.INCOME._.STATEMENT." localSheetId="9" hidden="1">{"INCOME STATEMENT",#N/A,FALSE,"Income Statement"}</definedName>
    <definedName name="wrn.INCOME._.STATEMENT." hidden="1">{"INCOME STATEMENT",#N/A,FALSE,"Income Statement"}</definedName>
    <definedName name="wrn.incomestmt." localSheetId="13"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9"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put._.sheet." localSheetId="13" hidden="1">{#N/A,#N/A,FALSE,"TICKERS INPUT SHEET"}</definedName>
    <definedName name="wrn.input._.sheet." localSheetId="9" hidden="1">{#N/A,#N/A,FALSE,"TICKERS INPUT SHEET"}</definedName>
    <definedName name="wrn.input._.sheet." hidden="1">{#N/A,#N/A,FALSE,"TICKERS INPUT SHEET"}</definedName>
    <definedName name="wrn.Lead._.Schedule." localSheetId="1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9"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PNL." localSheetId="13" hidden="1">{"LPNL1",#N/A,FALSE,"EntitiesWithReclasses";"LPNL2",#N/A,FALSE,"EntitiesWithReclasses";"LPNL3",#N/A,FALSE,"EntitiesWithReclasses"}</definedName>
    <definedName name="wrn.LPNL." localSheetId="9"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MDS1."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4" localSheetI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4" localSheetId="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ultiples._.Calculation." localSheetId="13" hidden="1">{#N/A,#N/A,FALSE,"GCM Data Sum";#N/A,#N/A,FALSE,"TIC-Calculation";#N/A,#N/A,FALSE,"TIC  Multiples";#N/A,#N/A,FALSE,"P-E &amp; Price to Book Multiples";#N/A,#N/A,FALSE,"Margins-EBITDA-to-Growth"}</definedName>
    <definedName name="wrn.Multiples._.Calculation." localSheetId="9" hidden="1">{#N/A,#N/A,FALSE,"GCM Data Sum";#N/A,#N/A,FALSE,"TIC-Calculation";#N/A,#N/A,FALSE,"TIC  Multiples";#N/A,#N/A,FALSE,"P-E &amp; Price to Book Multiples";#N/A,#N/A,FALSE,"Margins-EBITDA-to-Growth"}</definedName>
    <definedName name="wrn.Multiples._.Calculation." hidden="1">{#N/A,#N/A,FALSE,"GCM Data Sum";#N/A,#N/A,FALSE,"TIC-Calculation";#N/A,#N/A,FALSE,"TIC  Multiples";#N/A,#N/A,FALSE,"P-E &amp; Price to Book Multiples";#N/A,#N/A,FALSE,"Margins-EBITDA-to-Growth"}</definedName>
    <definedName name="wrn.PARTNERS._.CAPITAL._.STMT." localSheetId="13" hidden="1">{"PARTNERS CAPITAL STMT",#N/A,FALSE,"Partners Capital"}</definedName>
    <definedName name="wrn.PARTNERS._.CAPITAL._.STMT." localSheetId="9" hidden="1">{"PARTNERS CAPITAL STMT",#N/A,FALSE,"Partners Capital"}</definedName>
    <definedName name="wrn.PARTNERS._.CAPITAL._.STMT." hidden="1">{"PARTNERS CAPITAL STMT",#N/A,FALSE,"Partners Capital"}</definedName>
    <definedName name="wrn.PERPACKPG3." localSheetId="13" hidden="1">{"DJH3",#N/A,FALSE,"PFL00805";"PJB3",#N/A,FALSE,"PFL00805";"JMD3",#N/A,FALSE,"PFL00805";"DNB3",#N/A,FALSE,"PFL00805";"MJP3",#N/A,FALSE,"PFL00805";"RAB3",#N/A,FALSE,"PFL00805";"GJW3",#N/A,FALSE,"PFL00805";"MASTER3",#N/A,FALSE,"PFL00805"}</definedName>
    <definedName name="wrn.PERPACKPG3." localSheetId="9"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olymwe." localSheetId="1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_.All._.Exhibits." localSheetId="13" hidden="1">{"Inc Stmt Dollar",#N/A,FALSE,"IS";"Inc Stmt CS",#N/A,FALSE,"IS";"BS Dollar",#N/A,FALSE,"BS";"BS CS",#N/A,FALSE,"BS";"CF Dollar",#N/A,FALSE,"CF";"Ratio No.1",#N/A,FALSE,"Ratio";"Ratio No.2",#N/A,FALSE,"Ratio"}</definedName>
    <definedName name="wrn.Print._.All._.Exhibits." localSheetId="9" hidden="1">{"Inc Stmt Dollar",#N/A,FALSE,"IS";"Inc Stmt CS",#N/A,FALSE,"IS";"BS Dollar",#N/A,FALSE,"BS";"BS CS",#N/A,FALSE,"BS";"CF Dollar",#N/A,FALSE,"CF";"Ratio No.1",#N/A,FALSE,"Ratio";"Ratio No.2",#N/A,FALSE,"Ratio"}</definedName>
    <definedName name="wrn.Print._.All._.Exhibits." hidden="1">{"Inc Stmt Dollar",#N/A,FALSE,"IS";"Inc Stmt CS",#N/A,FALSE,"IS";"BS Dollar",#N/A,FALSE,"BS";"BS CS",#N/A,FALSE,"BS";"CF Dollar",#N/A,FALSE,"CF";"Ratio No.1",#N/A,FALSE,"Ratio";"Ratio No.2",#N/A,FALSE,"Ratio"}</definedName>
    <definedName name="wrn.print._.all._.sheets." localSheetId="13" hidden="1">{"summary",#N/A,FALSE,"Valuation Analysis";"assumptions1",#N/A,FALSE,"Valuation Analysis";"assumptions2",#N/A,FALSE,"Valuation Analysis"}</definedName>
    <definedName name="wrn.print._.all._.sheets." localSheetId="9"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Blank._.Exhibit." localSheetId="13" hidden="1">{"Extra 1",#N/A,FALSE,"Blank"}</definedName>
    <definedName name="wrn.Print._.Blank._.Exhibit." localSheetId="9" hidden="1">{"Extra 1",#N/A,FALSE,"Blank"}</definedName>
    <definedName name="wrn.Print._.Blank._.Exhibit." hidden="1">{"Extra 1",#N/A,FALSE,"Blank"}</definedName>
    <definedName name="wrn.Print._.BS._.Exhibits." localSheetId="13" hidden="1">{"BS Dollar",#N/A,FALSE,"BS";"BS CS",#N/A,FALSE,"BS"}</definedName>
    <definedName name="wrn.Print._.BS._.Exhibits." localSheetId="9" hidden="1">{"BS Dollar",#N/A,FALSE,"BS";"BS CS",#N/A,FALSE,"BS"}</definedName>
    <definedName name="wrn.Print._.BS._.Exhibits." hidden="1">{"BS Dollar",#N/A,FALSE,"BS";"BS CS",#N/A,FALSE,"BS"}</definedName>
    <definedName name="wrn.Print._.CF._.Exhibit." localSheetId="13" hidden="1">{"CF Dollar",#N/A,FALSE,"CF"}</definedName>
    <definedName name="wrn.Print._.CF._.Exhibit." localSheetId="9" hidden="1">{"CF Dollar",#N/A,FALSE,"CF"}</definedName>
    <definedName name="wrn.Print._.CF._.Exhibit." hidden="1">{"CF Dollar",#N/A,FALSE,"CF"}</definedName>
    <definedName name="wrn.Print._.IS._.Exhibits." localSheetId="13" hidden="1">{"Inc Stmt Dollar",#N/A,FALSE,"IS";"Inc Stmt CS",#N/A,FALSE,"IS"}</definedName>
    <definedName name="wrn.Print._.IS._.Exhibits." localSheetId="9" hidden="1">{"Inc Stmt Dollar",#N/A,FALSE,"IS";"Inc Stmt CS",#N/A,FALSE,"IS"}</definedName>
    <definedName name="wrn.Print._.IS._.Exhibits." hidden="1">{"Inc Stmt Dollar",#N/A,FALSE,"IS";"Inc Stmt CS",#N/A,FALSE,"IS"}</definedName>
    <definedName name="wrn.Print._.Ratio._.Exhibits." localSheetId="13" hidden="1">{"Ratio No.1",#N/A,FALSE,"Ratio";"Ratio No.2",#N/A,FALSE,"Ratio"}</definedName>
    <definedName name="wrn.Print._.Ratio._.Exhibits." localSheetId="9" hidden="1">{"Ratio No.1",#N/A,FALSE,"Ratio";"Ratio No.2",#N/A,FALSE,"Ratio"}</definedName>
    <definedName name="wrn.Print._.Ratio._.Exhibits." hidden="1">{"Ratio No.1",#N/A,FALSE,"Ratio";"Ratio No.2",#N/A,FALSE,"Ratio"}</definedName>
    <definedName name="wrn.Projected._.Data._.and._.Subject._.Company._.Data." localSheetId="13" hidden="1">{#N/A,#N/A,FALSE,"Projected Data &amp; SUBJECT-INPUTS"}</definedName>
    <definedName name="wrn.Projected._.Data._.and._.Subject._.Company._.Data." localSheetId="9" hidden="1">{#N/A,#N/A,FALSE,"Projected Data &amp; SUBJECT-INPUTS"}</definedName>
    <definedName name="wrn.Projected._.Data._.and._.Subject._.Company._.Data." hidden="1">{#N/A,#N/A,FALSE,"Projected Data &amp; SUBJECT-INPUTS"}</definedName>
    <definedName name="wrn.q." localSheetId="13" hidden="1">{#N/A,#N/A,TRUE,"4-12 '03"}</definedName>
    <definedName name="wrn.q." localSheetId="9" hidden="1">{#N/A,#N/A,TRUE,"4-12 '03"}</definedName>
    <definedName name="wrn.q." hidden="1">{#N/A,#N/A,TRUE,"4-12 '03"}</definedName>
    <definedName name="wrn.Range._.Values." localSheetId="13" hidden="1">{"page1",#N/A,FALSE,"Range Value - Incl Reclasses";"page2",#N/A,FALSE,"Range Value - Incl Reclasses";"page3",#N/A,FALSE,"Range Value - Incl Reclasses"}</definedName>
    <definedName name="wrn.Range._.Values." localSheetId="9"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eport._.Exhibits." localSheetId="13" hidden="1">{"Inc Stmt Exhibit",#N/A,FALSE,"IS";"BS Exhibit",#N/A,FALSE,"BS";"Ratio No.1",#N/A,FALSE,"Ratio";"Ratio No.2",#N/A,FALSE,"Ratio"}</definedName>
    <definedName name="wrn.Report._.Exhibits." localSheetId="9" hidden="1">{"Inc Stmt Exhibit",#N/A,FALSE,"IS";"BS Exhibit",#N/A,FALSE,"BS";"Ratio No.1",#N/A,FALSE,"Ratio";"Ratio No.2",#N/A,FALSE,"Ratio"}</definedName>
    <definedName name="wrn.Report._.Exhibits." hidden="1">{"Inc Stmt Exhibit",#N/A,FALSE,"IS";"BS Exhibit",#N/A,FALSE,"BS";"Ratio No.1",#N/A,FALSE,"Ratio";"Ratio No.2",#N/A,FALSE,"Ratio"}</definedName>
    <definedName name="wrn.repo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venue._.detail." localSheetId="13" hidden="1">{"revenue detail 1",#N/A,FALSE,"Revenue Detail";"revenue detail 2",#N/A,FALSE,"Revenue Detail";"revenue detail 3",#N/A,FALSE,"Revenue Detail";"revenue detail 4",#N/A,FALSE,"Revenue Detail"}</definedName>
    <definedName name="wrn.revenue._.detail." localSheetId="9" hidden="1">{"revenue detail 1",#N/A,FALSE,"Revenue Detail";"revenue detail 2",#N/A,FALSE,"Revenue Detail";"revenue detail 3",#N/A,FALSE,"Revenue Detail";"revenue detail 4",#N/A,FALSE,"Revenue Detail"}</definedName>
    <definedName name="wrn.revenue._.detail." hidden="1">{"revenue detail 1",#N/A,FALSE,"Revenue Detail";"revenue detail 2",#N/A,FALSE,"Revenue Detail";"revenue detail 3",#N/A,FALSE,"Revenue Detail";"revenue detail 4",#N/A,FALSE,"Revenue Detail"}</definedName>
    <definedName name="wrn.revenue._.graph." localSheetId="13" hidden="1">{"revenue graph",#N/A,FALSE,"Revenue Graph"}</definedName>
    <definedName name="wrn.revenue._.graph." localSheetId="9" hidden="1">{"revenue graph",#N/A,FALSE,"Revenue Graph"}</definedName>
    <definedName name="wrn.revenue._.graph." hidden="1">{"revenue graph",#N/A,FALSE,"Revenue Graph"}</definedName>
    <definedName name="wrn.RPT." localSheetId="13" hidden="1">{#N/A,#N/A,FALSE,"인원";#N/A,#N/A,FALSE,"비용2";#N/A,#N/A,FALSE,"비용1";#N/A,#N/A,FALSE,"비용";#N/A,#N/A,FALSE,"보증2";#N/A,#N/A,FALSE,"보증1";#N/A,#N/A,FALSE,"보증";#N/A,#N/A,FALSE,"손익1";#N/A,#N/A,FALSE,"손익";#N/A,#N/A,FALSE,"부서별매출";#N/A,#N/A,FALSE,"매출"}</definedName>
    <definedName name="wrn.RPT." localSheetId="9"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mple." localSheetId="13" hidden="1">{"sample",#N/A,FALSE,"Client Input Sheet"}</definedName>
    <definedName name="wrn.sample." localSheetId="9" hidden="1">{"sample",#N/A,FALSE,"Client Input Sheet"}</definedName>
    <definedName name="wrn.sample." hidden="1">{"sample",#N/A,FALSE,"Client Input Sheet"}</definedName>
    <definedName name="wrn.SEPT._.PRINT." localSheetId="13" hidden="1">{"SEPTEMBER PRINT",#N/A,FALSE,"INV_BKDN";"SEPTEMBER PRINT",#N/A,FALSE,"INV_BKDN"}</definedName>
    <definedName name="wrn.SEPT._.PRINT." localSheetId="9" hidden="1">{"SEPTEMBER PRINT",#N/A,FALSE,"INV_BKDN";"SEPTEMBER PRINT",#N/A,FALSE,"INV_BKDN"}</definedName>
    <definedName name="wrn.SEPT._.PRINT." hidden="1">{"SEPTEMBER PRINT",#N/A,FALSE,"INV_BKDN";"SEPTEMBER PRINT",#N/A,FALSE,"INV_BKDN"}</definedName>
    <definedName name="wrn.Shorten._.Version." localSheetId="13" hidden="1">{#N/A,#N/A,FALSE,"changes";#N/A,#N/A,FALSE,"Assumptions";"view1",#N/A,FALSE,"BE Analysis";"view2",#N/A,FALSE,"BE Analysis";#N/A,#N/A,FALSE,"DCF Calculation - Scenario 1";"Dollar",#N/A,FALSE,"Consolidated - Scenario 1";"CS",#N/A,FALSE,"Consolidated - Scenario 1"}</definedName>
    <definedName name="wrn.Shorten._.Version." localSheetId="9" hidden="1">{#N/A,#N/A,FALSE,"changes";#N/A,#N/A,FALSE,"Assumptions";"view1",#N/A,FALSE,"BE Analysis";"view2",#N/A,FALSE,"BE Analysis";#N/A,#N/A,FALSE,"DCF Calculation - Scenario 1";"Dollar",#N/A,FALSE,"Consolidated - Scenario 1";"CS",#N/A,FALSE,"Consolidated - Scenario 1"}</definedName>
    <definedName name="wrn.Shorten._.Version." hidden="1">{#N/A,#N/A,FALSE,"changes";#N/A,#N/A,FALSE,"Assumptions";"view1",#N/A,FALSE,"BE Analysis";"view2",#N/A,FALSE,"BE Analysis";#N/A,#N/A,FALSE,"DCF Calculation - Scenario 1";"Dollar",#N/A,FALSE,"Consolidated - Scenario 1";"CS",#N/A,FALSE,"Consolidated - Scenario 1"}</definedName>
    <definedName name="wrn.Staff._.cost1998." localSheetId="13" hidden="1">{#N/A,#N/A,TRUE,"Staffnos &amp; cost"}</definedName>
    <definedName name="wrn.Staff._.cost1998." localSheetId="9" hidden="1">{#N/A,#N/A,TRUE,"Staffnos &amp; cost"}</definedName>
    <definedName name="wrn.Staff._.cost1998." hidden="1">{#N/A,#N/A,TRUE,"Staffnos &amp; cost"}</definedName>
    <definedName name="wrn.Staffcost." localSheetId="13" hidden="1">{#N/A,#N/A,FALSE,"Staffnos &amp; cost"}</definedName>
    <definedName name="wrn.Staffcost." localSheetId="9" hidden="1">{#N/A,#N/A,FALSE,"Staffnos &amp; cost"}</definedName>
    <definedName name="wrn.Staffcost." hidden="1">{#N/A,#N/A,FALSE,"Staffnos &amp; cost"}</definedName>
    <definedName name="wrn.Standard." localSheetId="13" hidden="1">{#N/A,#N/A,FALSE,"IS US";#N/A,#N/A,FALSE,"BS US";#N/A,#N/A,FALSE,"IS LOCAL";#N/A,#N/A,FALSE,"BS INPUT";#N/A,#N/A,FALSE,"EQUITY";#N/A,#N/A,FALSE,"LOCAL ADJ";#N/A,#N/A,FALSE,"GAAP ADJ"}</definedName>
    <definedName name="wrn.Standard." localSheetId="9"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TMT._.OF._.CASH._.FLOWS." localSheetId="13" hidden="1">{"STMT OF CASH FLOWS",#N/A,FALSE,"Cash Flows Indirect"}</definedName>
    <definedName name="wrn.STMT._.OF._.CASH._.FLOWS." localSheetId="9" hidden="1">{"STMT OF CASH FLOWS",#N/A,FALSE,"Cash Flows Indirect"}</definedName>
    <definedName name="wrn.STMT._.OF._.CASH._.FLOWS." hidden="1">{"STMT OF CASH FLOWS",#N/A,FALSE,"Cash Flows Indirect"}</definedName>
    <definedName name="wrn.summary." localSheetId="13" hidden="1">{"summary",#N/A,FALSE,"Valuation Analysis"}</definedName>
    <definedName name="wrn.summary." localSheetId="9" hidden="1">{"summary",#N/A,FALSE,"Valuation Analysis"}</definedName>
    <definedName name="wrn.summary." hidden="1">{"summary",#N/A,FALSE,"Valuation Analysis"}</definedName>
    <definedName name="wrn.summary._.schedules." localSheetId="13" hidden="1">{"summary1",#N/A,FALSE,"Summary of Values";"summary2",#N/A,FALSE,"Summary of Values"}</definedName>
    <definedName name="wrn.summary._.schedules." localSheetId="9" hidden="1">{"summary1",#N/A,FALSE,"Summary of Values";"summary2",#N/A,FALSE,"Summary of Values"}</definedName>
    <definedName name="wrn.summary._.schedules." hidden="1">{"summary1",#N/A,FALSE,"Summary of Values";"summary2",#N/A,FALSE,"Summary of Values"}</definedName>
    <definedName name="wrn.TB._.ALL._.ACCTS." localSheetId="13" hidden="1">{"BALANCE SHEET ACCOUNTS",#N/A,TRUE,"Working Trial Balance";"INCOME ACCOUNTS",#N/A,TRUE,"Working Trial Balance"}</definedName>
    <definedName name="wrn.TB._.ALL._.ACCTS." localSheetId="9" hidden="1">{"BALANCE SHEET ACCOUNTS",#N/A,TRUE,"Working Trial Balance";"INCOME ACCOUNTS",#N/A,TRUE,"Working Trial Balance"}</definedName>
    <definedName name="wrn.TB._.ALL._.ACCTS." hidden="1">{"BALANCE SHEET ACCOUNTS",#N/A,TRUE,"Working Trial Balance";"INCOME ACCOUNTS",#N/A,TRUE,"Working Trial Balance"}</definedName>
    <definedName name="wrn.TB._.BALANCE._.SHEET." localSheetId="13" hidden="1">{"BALANCE SHEET ACCOUNTS",#N/A,FALSE,"Working Trial Balance"}</definedName>
    <definedName name="wrn.TB._.BALANCE._.SHEET." localSheetId="9" hidden="1">{"BALANCE SHEET ACCOUNTS",#N/A,FALSE,"Working Trial Balance"}</definedName>
    <definedName name="wrn.TB._.BALANCE._.SHEET." hidden="1">{"BALANCE SHEET ACCOUNTS",#N/A,FALSE,"Working Trial Balance"}</definedName>
    <definedName name="wrn.TB._.EXPLANATIONS." localSheetId="13" hidden="1">{"EXPLANATIONS",#N/A,FALSE,"Working Trial Balance"}</definedName>
    <definedName name="wrn.TB._.EXPLANATIONS." localSheetId="9" hidden="1">{"EXPLANATIONS",#N/A,FALSE,"Working Trial Balance"}</definedName>
    <definedName name="wrn.TB._.EXPLANATIONS." hidden="1">{"EXPLANATIONS",#N/A,FALSE,"Working Trial Balance"}</definedName>
    <definedName name="wrn.TB._.INCOME._.STMT." localSheetId="13" hidden="1">{"INCOME ACCOUNTS",#N/A,FALSE,"Working Trial Balance"}</definedName>
    <definedName name="wrn.TB._.INCOME._.STMT." localSheetId="9" hidden="1">{"INCOME ACCOUNTS",#N/A,FALSE,"Working Trial Balance"}</definedName>
    <definedName name="wrn.TB._.INCOME._.STMT." hidden="1">{"INCOME ACCOUNTS",#N/A,FALSE,"Working Trial Balance"}</definedName>
    <definedName name="wrn.technology." localSheetId="13" hidden="1">{"developed valuation",#N/A,FALSE,"Valuation Analysis";"developed income statement",#N/A,FALSE,"Abbreviated Income Statement";"inprocess valuation",#N/A,FALSE,"Valuation Analysis";"inprocess income statement",#N/A,FALSE,"Abbreviated Income Statement"}</definedName>
    <definedName name="wrn.technology." localSheetId="9" hidden="1">{"developed valuation",#N/A,FALSE,"Valuation Analysis";"developed income statement",#N/A,FALSE,"Abbreviated Income Statement";"inprocess valuation",#N/A,FALSE,"Valuation Analysis";"inprocess income statement",#N/A,FALSE,"Abbreviated Income Statement"}</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rademark._.and._.trade._.name." localSheetId="13" hidden="1">{"trademark1",#N/A,FALSE,"Trademark(s) and Trade Name(s)"}</definedName>
    <definedName name="wrn.trademark._.and._.trade._.name." localSheetId="9" hidden="1">{"trademark1",#N/A,FALSE,"Trademark(s) and Trade Name(s)"}</definedName>
    <definedName name="wrn.trademark._.and._.trade._.name." hidden="1">{"trademark1",#N/A,FALSE,"Trademark(s) and Trade Name(s)"}</definedName>
    <definedName name="wrn.vd." localSheetId="13" hidden="1">{#N/A,#N/A,TRUE,"BT M200 da 10x20"}</definedName>
    <definedName name="wrn.vd." localSheetId="9" hidden="1">{#N/A,#N/A,TRUE,"BT M200 da 10x20"}</definedName>
    <definedName name="wrn.vd." hidden="1">{#N/A,#N/A,TRUE,"BT M200 da 10x20"}</definedName>
    <definedName name="wrn.WEEKLY." localSheetId="13" hidden="1">{#N/A,#N/A,FALSE,"SUMMARY REPORT"}</definedName>
    <definedName name="wrn.WEEKLY." localSheetId="9" hidden="1">{#N/A,#N/A,FALSE,"SUMMARY REPORT"}</definedName>
    <definedName name="wrn.WEEKLY." hidden="1">{#N/A,#N/A,FALSE,"SUMMARY REPORT"}</definedName>
    <definedName name="wrn.work._.paper._.shcedules." localSheetId="13" hidden="1">{"summary1",#N/A,FALSE,"Summary of Values";"summary2",#N/A,FALSE,"Summary of Values";"weighted average returns",#N/A,FALSE,"WACC and WARA";"fixed asset detail",#N/A,FALSE,"Fixed Asset Detail"}</definedName>
    <definedName name="wrn.work._.paper._.shcedules." localSheetId="9" hidden="1">{"summary1",#N/A,FALSE,"Summary of Values";"summary2",#N/A,FALSE,"Summary of Values";"weighted average returns",#N/A,FALSE,"WACC and WARA";"fixed asset detail",#N/A,FALSE,"Fixed Asset Detail"}</definedName>
    <definedName name="wrn.work._.paper._.shcedules." hidden="1">{"summary1",#N/A,FALSE,"Summary of Values";"summary2",#N/A,FALSE,"Summary of Values";"weighted average returns",#N/A,FALSE,"WACC and WARA";"fixed asset detail",#N/A,FALSE,"Fixed Asset Detail"}</definedName>
    <definedName name="wrn.X140." localSheetId="13" hidden="1">{"page1",#N/A,FALSE,"X140withReclasses";"page2",#N/A,FALSE,"X140withReclasses";"page3",#N/A,FALSE,"X140withReclasses"}</definedName>
    <definedName name="wrn.X140." localSheetId="9" hidden="1">{"page1",#N/A,FALSE,"X140withReclasses";"page2",#N/A,FALSE,"X140withReclasses";"page3",#N/A,FALSE,"X140withReclasses"}</definedName>
    <definedName name="wrn.X140." hidden="1">{"page1",#N/A,FALSE,"X140withReclasses";"page2",#N/A,FALSE,"X140withReclasses";"page3",#N/A,FALSE,"X140withReclasses"}</definedName>
    <definedName name="wrn.자판정비._.월간회의자료."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주간._.보고." localSheetId="13" hidden="1">{#N/A,#N/A,TRUE,"일정"}</definedName>
    <definedName name="wrn.주간._.보고." localSheetId="9" hidden="1">{#N/A,#N/A,TRUE,"일정"}</definedName>
    <definedName name="wrn.주간._.보고." hidden="1">{#N/A,#N/A,TRUE,"일정"}</definedName>
    <definedName name="wrn.土地." localSheetId="13" hidden="1">{"土地",#N/A,FALSE,"土地建物"}</definedName>
    <definedName name="wrn.土地." localSheetId="9" hidden="1">{"土地",#N/A,FALSE,"土地建物"}</definedName>
    <definedName name="wrn.土地." hidden="1">{"土地",#N/A,FALSE,"土地建物"}</definedName>
    <definedName name="wrn.建物." localSheetId="13" hidden="1">{"建物",#N/A,FALSE,"土地建物"}</definedName>
    <definedName name="wrn.建物." localSheetId="9" hidden="1">{"建物",#N/A,FALSE,"土地建物"}</definedName>
    <definedName name="wrn.建物." hidden="1">{"建物",#N/A,FALSE,"土地建物"}</definedName>
    <definedName name="wrn1.repo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vu.a." localSheetId="13" hidden="1">{TRUE,FALSE,-1.25,-15.5,484.5,293.25,FALSE,TRUE,TRUE,TRUE,0,1,3,329,#N/A,1,21.8823529411765,2,TRUE,FALSE,3,TRUE,1,TRUE,100,"Swvu.a.","ACwvu.a.",#N/A,FALSE,FALSE,0.1,2.66,1.35,0,2,"","",TRUE,FALSE,FALSE,TRUE,1,87,#N/A,#N/A,"=R354C1:R476C10",FALSE,FALSE,FALSE,FALSE,FALSE,FALSE,5,300,300,FALSE,FALSE,TRUE,TRUE,TRUE}</definedName>
    <definedName name="wvu.a." localSheetId="9" hidden="1">{TRUE,FALSE,-1.25,-15.5,484.5,293.25,FALSE,TRUE,TRUE,TRUE,0,1,3,329,#N/A,1,21.8823529411765,2,TRUE,FALSE,3,TRUE,1,TRUE,100,"Swvu.a.","ACwvu.a.",#N/A,FALSE,FALSE,0.1,2.66,1.35,0,2,"","",TRUE,FALSE,FALSE,TRUE,1,87,#N/A,#N/A,"=R354C1:R476C10",FALSE,FALSE,FALSE,FALSE,FALSE,FALSE,5,300,300,FALSE,FALSE,TRUE,TRUE,TRUE}</definedName>
    <definedName name="wvu.a." hidden="1">{TRUE,FALSE,-1.25,-15.5,484.5,293.25,FALSE,TRUE,TRUE,TRUE,0,1,3,329,#N/A,1,21.8823529411765,2,TRUE,FALSE,3,TRUE,1,TRUE,100,"Swvu.a.","ACwvu.a.",#N/A,FALSE,FALSE,0.1,2.66,1.35,0,2,"","",TRUE,FALSE,FALSE,TRUE,1,87,#N/A,#N/A,"=R354C1:R476C10",FALSE,FALSE,FALSE,FALSE,FALSE,FALSE,5,300,300,FALSE,FALSE,TRUE,TRUE,TRUE}</definedName>
    <definedName name="wvu.a.1" localSheetId="13" hidden="1">{TRUE,FALSE,-1.25,-15.5,484.5,293.25,FALSE,TRUE,TRUE,TRUE,0,1,3,329,#N/A,1,21.8823529411765,2,TRUE,FALSE,3,TRUE,1,TRUE,100,"Swvu.a.","ACwvu.a.",#N/A,FALSE,FALSE,0.1,2.66,1.35,0,2,"","",TRUE,FALSE,FALSE,TRUE,1,87,#N/A,#N/A,"=R354C1:R476C10",FALSE,FALSE,FALSE,FALSE,FALSE,FALSE,5,300,300,FALSE,FALSE,TRUE,TRUE,TRUE}</definedName>
    <definedName name="wvu.a.1" localSheetId="9" hidden="1">{TRUE,FALSE,-1.25,-15.5,484.5,293.25,FALSE,TRUE,TRUE,TRUE,0,1,3,329,#N/A,1,21.8823529411765,2,TRUE,FALSE,3,TRUE,1,TRUE,100,"Swvu.a.","ACwvu.a.",#N/A,FALSE,FALSE,0.1,2.66,1.35,0,2,"","",TRUE,FALSE,FALSE,TRUE,1,87,#N/A,#N/A,"=R354C1:R476C10",FALSE,FALSE,FALSE,FALSE,FALSE,FALSE,5,300,300,FALSE,FALSE,TRUE,TRUE,TRUE}</definedName>
    <definedName name="wvu.a.1" hidden="1">{TRUE,FALSE,-1.25,-15.5,484.5,293.25,FALSE,TRUE,TRUE,TRUE,0,1,3,329,#N/A,1,21.8823529411765,2,TRUE,FALSE,3,TRUE,1,TRUE,100,"Swvu.a.","ACwvu.a.",#N/A,FALSE,FALSE,0.1,2.66,1.35,0,2,"","",TRUE,FALSE,FALSE,TRUE,1,87,#N/A,#N/A,"=R354C1:R476C10",FALSE,FALSE,FALSE,FALSE,FALSE,FALSE,5,300,300,FALSE,FALSE,TRUE,TRUE,TRUE}</definedName>
    <definedName name="ww" hidden="1">#REF!</definedName>
    <definedName name="wwa">#REF!</definedName>
    <definedName name="wwf">#REF!</definedName>
    <definedName name="WWW"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大外枠">#REF!</definedName>
    <definedName name="x">#REF!</definedName>
    <definedName name="xa" localSheetId="13" hidden="1">{#N/A,#N/A,FALSE,"Aging Summary";#N/A,#N/A,FALSE,"Ratio Analysis";#N/A,#N/A,FALSE,"Test 120 Day Accts";#N/A,#N/A,FALSE,"Tickmarks"}</definedName>
    <definedName name="xa" localSheetId="9" hidden="1">{#N/A,#N/A,FALSE,"Aging Summary";#N/A,#N/A,FALSE,"Ratio Analysis";#N/A,#N/A,FALSE,"Test 120 Day Accts";#N/A,#N/A,FALSE,"Tickmarks"}</definedName>
    <definedName name="xa" hidden="1">{#N/A,#N/A,FALSE,"Aging Summary";#N/A,#N/A,FALSE,"Ratio Analysis";#N/A,#N/A,FALSE,"Test 120 Day Accts";#N/A,#N/A,FALSE,"Tickmarks"}</definedName>
    <definedName name="xc">#REF!</definedName>
    <definedName name="xConstr_cost">#REF!</definedName>
    <definedName name="xd" localSheetId="13" hidden="1">{#N/A,#N/A,FALSE,"SUMMARY REPORT"}</definedName>
    <definedName name="xd" localSheetId="9" hidden="1">{#N/A,#N/A,FALSE,"SUMMARY REPORT"}</definedName>
    <definedName name="xd" hidden="1">{#N/A,#N/A,FALSE,"SUMMARY REPORT"}</definedName>
    <definedName name="xd0.6">#REF!</definedName>
    <definedName name="xd1.3">#REF!</definedName>
    <definedName name="xd1.5">#REF!</definedName>
    <definedName name="xddad" localSheetId="13" hidden="1">{#N/A,#N/A,FALSE,"SUMMARY REPORT"}</definedName>
    <definedName name="xddad" localSheetId="9" hidden="1">{#N/A,#N/A,FALSE,"SUMMARY REPORT"}</definedName>
    <definedName name="xddad" hidden="1">{#N/A,#N/A,FALSE,"SUMMARY REPORT"}</definedName>
    <definedName name="xDir_stf_cost_rev">#REF!</definedName>
    <definedName name="xdr" localSheetId="13" hidden="1">{#N/A,#N/A,FALSE,"SUMMARY REPORT"}</definedName>
    <definedName name="xdr" localSheetId="9" hidden="1">{#N/A,#N/A,FALSE,"SUMMARY REPORT"}</definedName>
    <definedName name="xdr" hidden="1">{#N/A,#N/A,FALSE,"SUMMARY REPORT"}</definedName>
    <definedName name="xEquity_rate">#REF!</definedName>
    <definedName name="xf" localSheetId="13" hidden="1">{#N/A,#N/A,FALSE,"SUMMARY REPORT"}</definedName>
    <definedName name="xf" localSheetId="9" hidden="1">{#N/A,#N/A,FALSE,"SUMMARY REPORT"}</definedName>
    <definedName name="xf" hidden="1">{#N/A,#N/A,FALSE,"SUMMARY REPORT"}</definedName>
    <definedName name="xGrace_period">#REF!</definedName>
    <definedName name="xh" localSheetId="13">#REF!</definedName>
    <definedName name="xh">#REF!</definedName>
    <definedName name="ximang" localSheetId="13">#REF!,#REF!,#REF!,#REF!,#REF!</definedName>
    <definedName name="ximang">#REF!,#REF!,#REF!,#REF!,#REF!</definedName>
    <definedName name="xInflation_rate">#REF!</definedName>
    <definedName name="xInitial_revenue">#REF!</definedName>
    <definedName name="xInterest_rate1">#REF!</definedName>
    <definedName name="xk0.6" localSheetId="13">#REF!</definedName>
    <definedName name="xk0.6">#REF!</definedName>
    <definedName name="xk1.3" localSheetId="13">#REF!</definedName>
    <definedName name="xk1.3">#REF!</definedName>
    <definedName name="xk1.5" localSheetId="13">#REF!</definedName>
    <definedName name="xk1.5">#REF!</definedName>
    <definedName name="xl">#REF!</definedName>
    <definedName name="xlc">#REF!</definedName>
    <definedName name="xld1.4">#REF!</definedName>
    <definedName name="xlk">#REF!</definedName>
    <definedName name="xlk1.4">#REF!</definedName>
    <definedName name="xn">#REF!</definedName>
    <definedName name="xOperation_cost">#REF!</definedName>
    <definedName name="xpqa" localSheetId="13" hidden="1">{#N/A,#N/A,FALSE,"SUMMARY REPORT"}</definedName>
    <definedName name="xpqa" localSheetId="9" hidden="1">{#N/A,#N/A,FALSE,"SUMMARY REPORT"}</definedName>
    <definedName name="xpqa" hidden="1">{#N/A,#N/A,FALSE,"SUMMARY REPORT"}</definedName>
    <definedName name="XREF_COLUMN_1" hidden="1">#REF!</definedName>
    <definedName name="XREF_COLUMN_11" hidden="1">#REF!</definedName>
    <definedName name="XREF_COLUMN_15" hidden="1">#REF!</definedName>
    <definedName name="XREF_COLUMN_2" localSheetId="13" hidden="1">#REF!</definedName>
    <definedName name="XREF_COLUMN_2" hidden="1">#REF!</definedName>
    <definedName name="XREF_COLUMN_3" localSheetId="13" hidden="1">#REF!</definedName>
    <definedName name="XREF_COLUMN_3" hidden="1">#REF!</definedName>
    <definedName name="XREF_COLUMN_6" localSheetId="13" hidden="1">#REF!</definedName>
    <definedName name="XREF_COLUMN_6" hidden="1">#REF!</definedName>
    <definedName name="XREF_COLUMN_7" localSheetId="13" hidden="1">#REF!</definedName>
    <definedName name="XREF_COLUMN_7" hidden="1">#REF!</definedName>
    <definedName name="XRefActiveRow" localSheetId="13" hidden="1">#REF!</definedName>
    <definedName name="XRefActiveRow" hidden="1">#REF!</definedName>
    <definedName name="XRefColumnsCount" hidden="1">2</definedName>
    <definedName name="XRefCopy1" localSheetId="13" hidden="1">#REF!</definedName>
    <definedName name="XRefCopy1" localSheetId="9" hidden="1">#REF!</definedName>
    <definedName name="XRefCopy1" hidden="1">#REF!</definedName>
    <definedName name="XRefCopy13" localSheetId="13" hidden="1">#REF!</definedName>
    <definedName name="XRefCopy13" localSheetId="9" hidden="1">#REF!</definedName>
    <definedName name="XRefCopy13" hidden="1">#REF!</definedName>
    <definedName name="XRefCopy13Row" localSheetId="13" hidden="1">#REF!</definedName>
    <definedName name="XRefCopy13Row" localSheetId="9" hidden="1">#REF!</definedName>
    <definedName name="XRefCopy13Row" hidden="1">#REF!</definedName>
    <definedName name="XRefCopy14" localSheetId="13" hidden="1">#REF!</definedName>
    <definedName name="XRefCopy14" hidden="1">#REF!</definedName>
    <definedName name="XRefCopy14Row" localSheetId="13" hidden="1">#REF!</definedName>
    <definedName name="XRefCopy14Row" hidden="1">#REF!</definedName>
    <definedName name="XRefCopy15" localSheetId="13" hidden="1">#REF!</definedName>
    <definedName name="XRefCopy15" hidden="1">#REF!</definedName>
    <definedName name="XRefCopy15Row" localSheetId="13" hidden="1">#REF!</definedName>
    <definedName name="XRefCopy15Row" hidden="1">#REF!</definedName>
    <definedName name="XRefCopy16" localSheetId="13" hidden="1">#REF!</definedName>
    <definedName name="XRefCopy16" hidden="1">#REF!</definedName>
    <definedName name="XRefCopy19" localSheetId="13" hidden="1">#REF!</definedName>
    <definedName name="XRefCopy19" hidden="1">#REF!</definedName>
    <definedName name="XRefCopy1Row" localSheetId="13" hidden="1">#REF!</definedName>
    <definedName name="XRefCopy1Row" hidden="1">#REF!</definedName>
    <definedName name="XRefCopy2" localSheetId="13" hidden="1">#REF!</definedName>
    <definedName name="XRefCopy2" hidden="1">#REF!</definedName>
    <definedName name="XRefCopy20" localSheetId="13" hidden="1">#REF!</definedName>
    <definedName name="XRefCopy20" hidden="1">#REF!</definedName>
    <definedName name="XRefCopy21" localSheetId="13" hidden="1">#REF!</definedName>
    <definedName name="XRefCopy21" hidden="1">#REF!</definedName>
    <definedName name="XRefCopy22" hidden="1">#REF!</definedName>
    <definedName name="XRefCopy24" hidden="1">#REF!</definedName>
    <definedName name="XRefCopy2Row" localSheetId="13" hidden="1">#REF!</definedName>
    <definedName name="XRefCopy2Row" hidden="1">#REF!</definedName>
    <definedName name="XRefCopy3" localSheetId="13" hidden="1">#REF!</definedName>
    <definedName name="XRefCopy3" hidden="1">#REF!</definedName>
    <definedName name="XRefCopy3Row" localSheetId="1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Row" hidden="1">#REF!</definedName>
    <definedName name="XRefCopy9" hidden="1">#REF!</definedName>
    <definedName name="XRefCopy9Row" localSheetId="13" hidden="1">#REF!</definedName>
    <definedName name="XRefCopy9Row" hidden="1">#REF!</definedName>
    <definedName name="XRefCopyRangeCount" hidden="1">7</definedName>
    <definedName name="XRefPaste1" localSheetId="13" hidden="1">#REF!</definedName>
    <definedName name="XRefPaste1" localSheetId="9" hidden="1">#REF!</definedName>
    <definedName name="XRefPaste1" hidden="1">#REF!</definedName>
    <definedName name="XRefPaste10" localSheetId="13" hidden="1">#REF!</definedName>
    <definedName name="XRefPaste10" localSheetId="9" hidden="1">#REF!</definedName>
    <definedName name="XRefPaste10" hidden="1">#REF!</definedName>
    <definedName name="XRefPaste11" localSheetId="13" hidden="1">#REF!</definedName>
    <definedName name="XRefPaste11" localSheetId="9" hidden="1">#REF!</definedName>
    <definedName name="XRefPaste11" hidden="1">#REF!</definedName>
    <definedName name="XRefPaste110Row" localSheetId="13" hidden="1">#REF!</definedName>
    <definedName name="XRefPaste110Row" hidden="1">#REF!</definedName>
    <definedName name="XRefPaste111Row" localSheetId="13" hidden="1">#REF!</definedName>
    <definedName name="XRefPaste111Row" hidden="1">#REF!</definedName>
    <definedName name="XRefPaste112Row" localSheetId="13" hidden="1">#REF!</definedName>
    <definedName name="XRefPaste112Row" hidden="1">#REF!</definedName>
    <definedName name="XRefPaste113Row" hidden="1">#REF!</definedName>
    <definedName name="XRefPaste12" hidden="1">#REF!</definedName>
    <definedName name="XRefPaste120Row" hidden="1">#REF!</definedName>
    <definedName name="XRefPaste121Row"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localSheetId="13" hidden="1">#REF!</definedName>
    <definedName name="XRefPaste15" hidden="1">#REF!</definedName>
    <definedName name="XRefPaste17" hidden="1">#REF!</definedName>
    <definedName name="XRefPaste18" hidden="1">#REF!</definedName>
    <definedName name="XRefPaste19" hidden="1">#REF!</definedName>
    <definedName name="XRefPaste1Row" localSheetId="13" hidden="1">#REF!</definedName>
    <definedName name="XRefPaste1Row" hidden="1">#REF!</definedName>
    <definedName name="XRefPaste2" localSheetId="13" hidden="1">#REF!</definedName>
    <definedName name="XRefPaste2" hidden="1">#REF!</definedName>
    <definedName name="XRefPaste20" localSheetId="13" hidden="1">#REF!</definedName>
    <definedName name="XRefPaste20" hidden="1">#REF!</definedName>
    <definedName name="XRefPaste21" localSheetId="13" hidden="1">#REF!</definedName>
    <definedName name="XRefPaste21" hidden="1">#REF!</definedName>
    <definedName name="XRefPaste22" hidden="1">#REF!</definedName>
    <definedName name="XRefPaste23" hidden="1">#REF!</definedName>
    <definedName name="XRefPaste23Row" hidden="1">#REF!</definedName>
    <definedName name="XRefPaste24" hidden="1">#REF!</definedName>
    <definedName name="XRefPaste2Row" localSheetId="13" hidden="1">#REF!</definedName>
    <definedName name="XRefPaste2Row" hidden="1">#REF!</definedName>
    <definedName name="XRefPaste3" localSheetId="13" hidden="1">#REF!</definedName>
    <definedName name="XRefPaste3" hidden="1">#REF!</definedName>
    <definedName name="XRefPaste3Row" localSheetId="1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RangeCount" hidden="1">8</definedName>
    <definedName name="xRepayment_period">#REF!</definedName>
    <definedName name="xs" localSheetId="13" hidden="1">{#N/A,#N/A,FALSE,"SUMMARY REPORT"}</definedName>
    <definedName name="xs" localSheetId="9" hidden="1">{#N/A,#N/A,FALSE,"SUMMARY REPORT"}</definedName>
    <definedName name="xs" hidden="1">{#N/A,#N/A,FALSE,"SUMMARY REPORT"}</definedName>
    <definedName name="xSubsidies_rate">#REF!</definedName>
    <definedName name="xTrafic_growth">#REF!</definedName>
    <definedName name="xx" localSheetId="13">#REF!</definedName>
    <definedName name="xx">#REF!</definedName>
    <definedName name="xxxx" localSheetId="13">#REF!</definedName>
    <definedName name="xxxx">#REF!</definedName>
    <definedName name="xxxxxxxxx" localSheetId="13" hidden="1">#REF!</definedName>
    <definedName name="xxxxxxxxx" localSheetId="9" hidden="1">#REF!</definedName>
    <definedName name="xxxxxxxxx" hidden="1">#REF!</definedName>
    <definedName name="xyz" localSheetId="13">#REF!</definedName>
    <definedName name="xyz">#REF!</definedName>
    <definedName name="xzcn" localSheetId="13">#REF!</definedName>
    <definedName name="xzcn">#REF!</definedName>
    <definedName name="y" localSheetId="13">#REF!</definedName>
    <definedName name="y">#REF!</definedName>
    <definedName name="Ｙ" localSheetId="13" hidden="1">#REF!</definedName>
    <definedName name="Ｙ" localSheetId="9" hidden="1">#REF!</definedName>
    <definedName name="Ｙ" hidden="1">#REF!</definedName>
    <definedName name="ya5y">#REF!</definedName>
    <definedName name="Year" localSheetId="13">#REF!</definedName>
    <definedName name="Year">#REF!</definedName>
    <definedName name="YEARLOCAL" localSheetId="13">#REF!</definedName>
    <definedName name="YEARLOCAL">#REF!</definedName>
    <definedName name="Years">#REF!</definedName>
    <definedName name="YearStart1" localSheetId="13">#REF!</definedName>
    <definedName name="YearStart1">#REF!</definedName>
    <definedName name="YearStart2" localSheetId="13">#REF!</definedName>
    <definedName name="YearStart2">#REF!</definedName>
    <definedName name="YearStart3" localSheetId="13">#REF!</definedName>
    <definedName name="YearStart3">#REF!</definedName>
    <definedName name="YearStart4">#REF!</definedName>
    <definedName name="YearStart5">#REF!</definedName>
    <definedName name="YearStart6">#REF!</definedName>
    <definedName name="YearStart7">#REF!</definedName>
    <definedName name="YearType">#REF!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hh" localSheetId="13" hidden="1">{"DJH3",#N/A,FALSE,"PFL00805";"PJB3",#N/A,FALSE,"PFL00805";"JMD3",#N/A,FALSE,"PFL00805";"DNB3",#N/A,FALSE,"PFL00805";"MJP3",#N/A,FALSE,"PFL00805";"RAB3",#N/A,FALSE,"PFL00805";"GJW3",#N/A,FALSE,"PFL00805";"MASTER3",#N/A,FALSE,"PFL00805"}</definedName>
    <definedName name="yhh" localSheetId="9"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LDPRINT">#REF!</definedName>
    <definedName name="you">#REF!</definedName>
    <definedName name="YR5gp" localSheetId="13">#REF!</definedName>
    <definedName name="YR5gp">#REF!</definedName>
    <definedName name="Yr5NPAT" localSheetId="13">#REF!</definedName>
    <definedName name="Yr5NPAT">#REF!</definedName>
    <definedName name="yrh" localSheetId="13" hidden="1">{#N/A,#N/A,FALSE,"Aging Summary";#N/A,#N/A,FALSE,"Ratio Analysis";#N/A,#N/A,FALSE,"Test 120 Day Accts";#N/A,#N/A,FALSE,"Tickmarks"}</definedName>
    <definedName name="yrh" localSheetId="9" hidden="1">{#N/A,#N/A,FALSE,"Aging Summary";#N/A,#N/A,FALSE,"Ratio Analysis";#N/A,#N/A,FALSE,"Test 120 Day Accts";#N/A,#N/A,FALSE,"Tickmarks"}</definedName>
    <definedName name="yrh" hidden="1">{#N/A,#N/A,FALSE,"Aging Summary";#N/A,#N/A,FALSE,"Ratio Analysis";#N/A,#N/A,FALSE,"Test 120 Day Accts";#N/A,#N/A,FALSE,"Tickmarks"}</definedName>
    <definedName name="YTD">#REF!</definedName>
    <definedName name="ytm">#REF!</definedName>
    <definedName name="ytm_pbt">#REF!</definedName>
    <definedName name="ytr" localSheetId="13" hidden="1">{#N/A,#N/A,FALSE,"SUMMARY REPORT"}</definedName>
    <definedName name="ytr" localSheetId="9" hidden="1">{#N/A,#N/A,FALSE,"SUMMARY REPORT"}</definedName>
    <definedName name="ytr" hidden="1">{#N/A,#N/A,FALSE,"SUMMARY REPORT"}</definedName>
    <definedName name="ytruy">#REF!</definedName>
    <definedName name="yui" localSheetId="13" hidden="1">{#N/A,#N/A,FALSE,"SUMMARY REPORT"}</definedName>
    <definedName name="yui" localSheetId="9" hidden="1">{#N/A,#N/A,FALSE,"SUMMARY REPORT"}</definedName>
    <definedName name="yui" hidden="1">{#N/A,#N/A,FALSE,"SUMMARY REPORT"}</definedName>
    <definedName name="yyyyyyyyyy" localSheetId="13" hidden="1">{"DJH3",#N/A,FALSE,"PFL00805";"PJB3",#N/A,FALSE,"PFL00805";"JMD3",#N/A,FALSE,"PFL00805";"DNB3",#N/A,FALSE,"PFL00805";"MJP3",#N/A,FALSE,"PFL00805";"RAB3",#N/A,FALSE,"PFL00805";"GJW3",#N/A,FALSE,"PFL00805";"MASTER3",#N/A,FALSE,"PFL00805"}</definedName>
    <definedName name="yyyyyyyyyy" localSheetId="9" hidden="1">{"DJH3",#N/A,FALSE,"PFL00805";"PJB3",#N/A,FALSE,"PFL00805";"JMD3",#N/A,FALSE,"PFL00805";"DNB3",#N/A,FALSE,"PFL00805";"MJP3",#N/A,FALSE,"PFL00805";"RAB3",#N/A,FALSE,"PFL00805";"GJW3",#N/A,FALSE,"PFL00805";"MASTER3",#N/A,FALSE,"PFL00805"}</definedName>
    <definedName name="yyyyyyyyyy" hidden="1">{"DJH3",#N/A,FALSE,"PFL00805";"PJB3",#N/A,FALSE,"PFL00805";"JMD3",#N/A,FALSE,"PFL00805";"DNB3",#N/A,FALSE,"PFL00805";"MJP3",#N/A,FALSE,"PFL00805";"RAB3",#N/A,FALSE,"PFL00805";"GJW3",#N/A,FALSE,"PFL00805";"MASTER3",#N/A,FALSE,"PFL00805"}</definedName>
    <definedName name="z" localSheetId="13" hidden="1">{#N/A,#N/A,FALSE,"Aging Summary";#N/A,#N/A,FALSE,"Ratio Analysis";#N/A,#N/A,FALSE,"Test 120 Day Accts";#N/A,#N/A,FALSE,"Tickmarks"}</definedName>
    <definedName name="z" localSheetId="9" hidden="1">{#N/A,#N/A,FALSE,"Aging Summary";#N/A,#N/A,FALSE,"Ratio Analysis";#N/A,#N/A,FALSE,"Test 120 Day Accts";#N/A,#N/A,FALSE,"Tickmarks"}</definedName>
    <definedName name="z" hidden="1">{#N/A,#N/A,FALSE,"Aging Summary";#N/A,#N/A,FALSE,"Ratio Analysis";#N/A,#N/A,FALSE,"Test 120 Day Accts";#N/A,#N/A,FALSE,"Tickmarks"}</definedName>
    <definedName name="za" localSheetId="13" hidden="1">{#N/A,#N/A,FALSE,"SUMMARY REPORT"}</definedName>
    <definedName name="za" localSheetId="9" hidden="1">{#N/A,#N/A,FALSE,"SUMMARY REPORT"}</definedName>
    <definedName name="za" hidden="1">{#N/A,#N/A,FALSE,"SUMMARY REPORT"}</definedName>
    <definedName name="zae" localSheetId="13" hidden="1">{#N/A,#N/A,FALSE,"SUMMARY REPORT"}</definedName>
    <definedName name="zae" localSheetId="9" hidden="1">{#N/A,#N/A,FALSE,"SUMMARY REPORT"}</definedName>
    <definedName name="zae" hidden="1">{#N/A,#N/A,FALSE,"SUMMARY REPORT"}</definedName>
    <definedName name="zConcession_duration">#REF!</definedName>
    <definedName name="zConstr_cost">#REF!</definedName>
    <definedName name="zEquity_rate">#REF!</definedName>
    <definedName name="zfdf" localSheetId="13" hidden="1">{#N/A,#N/A,FALSE,"SUMMARY REPORT"}</definedName>
    <definedName name="zfdf" localSheetId="9" hidden="1">{#N/A,#N/A,FALSE,"SUMMARY REPORT"}</definedName>
    <definedName name="zfdf" hidden="1">{#N/A,#N/A,FALSE,"SUMMARY REPORT"}</definedName>
    <definedName name="zfgha">#REF!</definedName>
    <definedName name="zGrace_period">#REF!</definedName>
    <definedName name="zInflation_rate">#REF!</definedName>
    <definedName name="zInitial_revenue">#REF!</definedName>
    <definedName name="zInterest_rate">#REF!</definedName>
    <definedName name="Zir_Dep">#REF!</definedName>
    <definedName name="ZK70AMB.ZK70AMB">#REF!</definedName>
    <definedName name="ZK70AMC.ZK70AMC">#REF!</definedName>
    <definedName name="ZK70AME.ZK70AME">#REF!</definedName>
    <definedName name="ZONE_IMPRES_MI">#REF!</definedName>
    <definedName name="zOperation_cost">#REF!</definedName>
    <definedName name="zRepayment_period">#REF!</definedName>
    <definedName name="zs" localSheetId="13" hidden="1">{#N/A,#N/A,FALSE,"SUMMARY REPORT"}</definedName>
    <definedName name="zs" localSheetId="9" hidden="1">{#N/A,#N/A,FALSE,"SUMMARY REPORT"}</definedName>
    <definedName name="zs" hidden="1">{#N/A,#N/A,FALSE,"SUMMARY REPORT"}</definedName>
    <definedName name="zsfg" localSheetId="13" hidden="1">{#N/A,#N/A,FALSE,"196126-0690";#N/A,#N/A,FALSE,"196126-0690";#N/A,#N/A,FALSE,"1961165-0201"}</definedName>
    <definedName name="zsfg" localSheetId="9" hidden="1">{#N/A,#N/A,FALSE,"196126-0690";#N/A,#N/A,FALSE,"196126-0690";#N/A,#N/A,FALSE,"1961165-0201"}</definedName>
    <definedName name="zsfg" hidden="1">{#N/A,#N/A,FALSE,"196126-0690";#N/A,#N/A,FALSE,"196126-0690";#N/A,#N/A,FALSE,"1961165-0201"}</definedName>
    <definedName name="zsr" localSheetId="13" hidden="1">{#N/A,#N/A,FALSE,"SUMMARY REPORT"}</definedName>
    <definedName name="zsr" localSheetId="9" hidden="1">{#N/A,#N/A,FALSE,"SUMMARY REPORT"}</definedName>
    <definedName name="zsr" hidden="1">{#N/A,#N/A,FALSE,"SUMMARY REPORT"}</definedName>
    <definedName name="zSubsidies_rate">#REF!</definedName>
    <definedName name="zTrafic_growth">#REF!</definedName>
    <definedName name="ZYX" localSheetId="13">#REF!</definedName>
    <definedName name="ZYX">#REF!</definedName>
    <definedName name="ZZZ" localSheetId="13">#REF!</definedName>
    <definedName name="ZZZ">#REF!</definedName>
    <definedName name="あああ" localSheetId="13" hidden="1">#REF!</definedName>
    <definedName name="あああ" localSheetId="9" hidden="1">#REF!</definedName>
    <definedName name="あああ" hidden="1">#REF!</definedName>
    <definedName name="ｱｲﾃﾑ現状" localSheetId="9" hidden="1">#REF!</definedName>
    <definedName name="ｱｲﾃﾑ現状" hidden="1">#REF!</definedName>
    <definedName name="ｱｲﾃﾑ表" localSheetId="9" hidden="1">#REF!</definedName>
    <definedName name="ｱｲﾃﾑ表" hidden="1">#REF!</definedName>
    <definedName name="クエリCRV">#REF!</definedName>
    <definedName name="クエリー4">#REF!</definedName>
    <definedName name="ｼｰﾙ工法">#REF!</definedName>
    <definedName name="ﾀｲﾌﾟ">#REF!</definedName>
    <definedName name="データ１０月" localSheetId="13">#REF!</definedName>
    <definedName name="データ１０月">#REF!</definedName>
    <definedName name="デｰタ年月">#REF!</definedName>
    <definedName name="マクロ">#N/A</definedName>
    <definedName name="ﾏﾂｶﾝ" localSheetId="9" hidden="1">#REF!</definedName>
    <definedName name="ﾏﾂｶﾝ" hidden="1">#REF!</definedName>
    <definedName name="モード">#REF!</definedName>
    <definedName name="もりた" localSheetId="13">#REF!</definedName>
    <definedName name="もりた">#REF!</definedName>
    <definedName name="건가new" localSheetId="13" hidden="1">{#N/A,#N/A,FALSE,"BS";#N/A,#N/A,FALSE,"PL";#N/A,#N/A,FALSE,"처분";#N/A,#N/A,FALSE,"현금";#N/A,#N/A,FALSE,"매출";#N/A,#N/A,FALSE,"원가";#N/A,#N/A,FALSE,"경영"}</definedName>
    <definedName name="건가new" localSheetId="9" hidden="1">{#N/A,#N/A,FALSE,"BS";#N/A,#N/A,FALSE,"PL";#N/A,#N/A,FALSE,"처분";#N/A,#N/A,FALSE,"현금";#N/A,#N/A,FALSE,"매출";#N/A,#N/A,FALSE,"원가";#N/A,#N/A,FALSE,"경영"}</definedName>
    <definedName name="건가new" hidden="1">{#N/A,#N/A,FALSE,"BS";#N/A,#N/A,FALSE,"PL";#N/A,#N/A,FALSE,"처분";#N/A,#N/A,FALSE,"현금";#N/A,#N/A,FALSE,"매출";#N/A,#N/A,FALSE,"원가";#N/A,#N/A,FALSE,"경영"}</definedName>
    <definedName name="결맹" localSheetId="13" hidden="1">{#N/A,#N/A,FALSE,"BS";#N/A,#N/A,FALSE,"PL";#N/A,#N/A,FALSE,"A";#N/A,#N/A,FALSE,"B";#N/A,#N/A,FALSE,"B1";#N/A,#N/A,FALSE,"C";#N/A,#N/A,FALSE,"C1";#N/A,#N/A,FALSE,"C2";#N/A,#N/A,FALSE,"D";#N/A,#N/A,FALSE,"E";#N/A,#N/A,FALSE,"F";#N/A,#N/A,FALSE,"AA";#N/A,#N/A,FALSE,"BB";#N/A,#N/A,FALSE,"CC";#N/A,#N/A,FALSE,"DD";#N/A,#N/A,FALSE,"EE";#N/A,#N/A,FALSE,"FF";#N/A,#N/A,FALSE,"PL10";#N/A,#N/A,FALSE,"PL20";#N/A,#N/A,FALSE,"PL30"}</definedName>
    <definedName name="결맹" localSheetId="9" hidden="1">{#N/A,#N/A,FALSE,"BS";#N/A,#N/A,FALSE,"PL";#N/A,#N/A,FALSE,"A";#N/A,#N/A,FALSE,"B";#N/A,#N/A,FALSE,"B1";#N/A,#N/A,FALSE,"C";#N/A,#N/A,FALSE,"C1";#N/A,#N/A,FALSE,"C2";#N/A,#N/A,FALSE,"D";#N/A,#N/A,FALSE,"E";#N/A,#N/A,FALSE,"F";#N/A,#N/A,FALSE,"AA";#N/A,#N/A,FALSE,"BB";#N/A,#N/A,FALSE,"CC";#N/A,#N/A,FALSE,"DD";#N/A,#N/A,FALSE,"EE";#N/A,#N/A,FALSE,"FF";#N/A,#N/A,FALSE,"PL10";#N/A,#N/A,FALSE,"PL20";#N/A,#N/A,FALSE,"PL30"}</definedName>
    <definedName name="결맹" hidden="1">{#N/A,#N/A,FALSE,"BS";#N/A,#N/A,FALSE,"PL";#N/A,#N/A,FALSE,"A";#N/A,#N/A,FALSE,"B";#N/A,#N/A,FALSE,"B1";#N/A,#N/A,FALSE,"C";#N/A,#N/A,FALSE,"C1";#N/A,#N/A,FALSE,"C2";#N/A,#N/A,FALSE,"D";#N/A,#N/A,FALSE,"E";#N/A,#N/A,FALSE,"F";#N/A,#N/A,FALSE,"AA";#N/A,#N/A,FALSE,"BB";#N/A,#N/A,FALSE,"CC";#N/A,#N/A,FALSE,"DD";#N/A,#N/A,FALSE,"EE";#N/A,#N/A,FALSE,"FF";#N/A,#N/A,FALSE,"PL10";#N/A,#N/A,FALSE,"PL20";#N/A,#N/A,FALSE,"PL30"}</definedName>
    <definedName name="결산공고" localSheetId="13" hidden="1">{#N/A,#N/A,FALSE,"BS";#N/A,#N/A,FALSE,"PL";#N/A,#N/A,FALSE,"처분";#N/A,#N/A,FALSE,"현금";#N/A,#N/A,FALSE,"매출";#N/A,#N/A,FALSE,"원가";#N/A,#N/A,FALSE,"경영"}</definedName>
    <definedName name="결산공고" localSheetId="9"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손" localSheetId="13" hidden="1">{#N/A,#N/A,FALSE,"BS";#N/A,#N/A,FALSE,"PL";#N/A,#N/A,FALSE,"A";#N/A,#N/A,FALSE,"B";#N/A,#N/A,FALSE,"B1";#N/A,#N/A,FALSE,"C";#N/A,#N/A,FALSE,"C1";#N/A,#N/A,FALSE,"C2";#N/A,#N/A,FALSE,"D";#N/A,#N/A,FALSE,"E";#N/A,#N/A,FALSE,"F";#N/A,#N/A,FALSE,"AA";#N/A,#N/A,FALSE,"BB";#N/A,#N/A,FALSE,"CC";#N/A,#N/A,FALSE,"DD";#N/A,#N/A,FALSE,"EE";#N/A,#N/A,FALSE,"FF";#N/A,#N/A,FALSE,"PL10";#N/A,#N/A,FALSE,"PL20";#N/A,#N/A,FALSE,"PL30"}</definedName>
    <definedName name="결손" localSheetId="9" hidden="1">{#N/A,#N/A,FALSE,"BS";#N/A,#N/A,FALSE,"PL";#N/A,#N/A,FALSE,"A";#N/A,#N/A,FALSE,"B";#N/A,#N/A,FALSE,"B1";#N/A,#N/A,FALSE,"C";#N/A,#N/A,FALSE,"C1";#N/A,#N/A,FALSE,"C2";#N/A,#N/A,FALSE,"D";#N/A,#N/A,FALSE,"E";#N/A,#N/A,FALSE,"F";#N/A,#N/A,FALSE,"AA";#N/A,#N/A,FALSE,"BB";#N/A,#N/A,FALSE,"CC";#N/A,#N/A,FALSE,"DD";#N/A,#N/A,FALSE,"EE";#N/A,#N/A,FALSE,"FF";#N/A,#N/A,FALSE,"PL10";#N/A,#N/A,FALSE,"PL20";#N/A,#N/A,FALSE,"PL30"}</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localSheetId="13" hidden="1">{#N/A,#N/A,FALSE,"BS";#N/A,#N/A,FALSE,"PL";#N/A,#N/A,FALSE,"처분";#N/A,#N/A,FALSE,"현금";#N/A,#N/A,FALSE,"매출";#N/A,#N/A,FALSE,"원가";#N/A,#N/A,FALSE,"경영"}</definedName>
    <definedName name="결손금" localSheetId="9" hidden="1">{#N/A,#N/A,FALSE,"BS";#N/A,#N/A,FALSE,"PL";#N/A,#N/A,FALSE,"처분";#N/A,#N/A,FALSE,"현금";#N/A,#N/A,FALSE,"매출";#N/A,#N/A,FALSE,"원가";#N/A,#N/A,FALSE,"경영"}</definedName>
    <definedName name="결손금" hidden="1">{#N/A,#N/A,FALSE,"BS";#N/A,#N/A,FALSE,"PL";#N/A,#N/A,FALSE,"처분";#N/A,#N/A,FALSE,"현금";#N/A,#N/A,FALSE,"매출";#N/A,#N/A,FALSE,"원가";#N/A,#N/A,FALSE,"경영"}</definedName>
    <definedName name="공기"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승연" localSheetId="13" hidden="1">{#N/A,#N/A,FALSE,"인원";#N/A,#N/A,FALSE,"비용2";#N/A,#N/A,FALSE,"비용1";#N/A,#N/A,FALSE,"비용";#N/A,#N/A,FALSE,"보증2";#N/A,#N/A,FALSE,"보증1";#N/A,#N/A,FALSE,"보증";#N/A,#N/A,FALSE,"손익1";#N/A,#N/A,FALSE,"손익";#N/A,#N/A,FALSE,"부서별매출";#N/A,#N/A,FALSE,"매출"}</definedName>
    <definedName name="김승연" localSheetId="9" hidden="1">{#N/A,#N/A,FALSE,"인원";#N/A,#N/A,FALSE,"비용2";#N/A,#N/A,FALSE,"비용1";#N/A,#N/A,FALSE,"비용";#N/A,#N/A,FALSE,"보증2";#N/A,#N/A,FALSE,"보증1";#N/A,#N/A,FALSE,"보증";#N/A,#N/A,FALSE,"손익1";#N/A,#N/A,FALSE,"손익";#N/A,#N/A,FALSE,"부서별매출";#N/A,#N/A,FALSE,"매출"}</definedName>
    <definedName name="김승연" hidden="1">{#N/A,#N/A,FALSE,"인원";#N/A,#N/A,FALSE,"비용2";#N/A,#N/A,FALSE,"비용1";#N/A,#N/A,FALSE,"비용";#N/A,#N/A,FALSE,"보증2";#N/A,#N/A,FALSE,"보증1";#N/A,#N/A,FALSE,"보증";#N/A,#N/A,FALSE,"손익1";#N/A,#N/A,FALSE,"손익";#N/A,#N/A,FALSE,"부서별매출";#N/A,#N/A,FALSE,"매출"}</definedName>
    <definedName name="김일기"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 localSheetId="13" hidden="1">{#N/A,#N/A,FALSE,"BS";#N/A,#N/A,FALSE,"PL";#N/A,#N/A,FALSE,"A";#N/A,#N/A,FALSE,"B";#N/A,#N/A,FALSE,"B1";#N/A,#N/A,FALSE,"C";#N/A,#N/A,FALSE,"C1";#N/A,#N/A,FALSE,"C2";#N/A,#N/A,FALSE,"D";#N/A,#N/A,FALSE,"E";#N/A,#N/A,FALSE,"F";#N/A,#N/A,FALSE,"AA";#N/A,#N/A,FALSE,"BB";#N/A,#N/A,FALSE,"CC";#N/A,#N/A,FALSE,"DD";#N/A,#N/A,FALSE,"EE";#N/A,#N/A,FALSE,"FF";#N/A,#N/A,FALSE,"PL10";#N/A,#N/A,FALSE,"PL20";#N/A,#N/A,FALSE,"PL30"}</definedName>
    <definedName name="ㄴㅇ" localSheetId="9" hidden="1">{#N/A,#N/A,FALSE,"BS";#N/A,#N/A,FALSE,"PL";#N/A,#N/A,FALSE,"A";#N/A,#N/A,FALSE,"B";#N/A,#N/A,FALSE,"B1";#N/A,#N/A,FALSE,"C";#N/A,#N/A,FALSE,"C1";#N/A,#N/A,FALSE,"C2";#N/A,#N/A,FALSE,"D";#N/A,#N/A,FALSE,"E";#N/A,#N/A,FALSE,"F";#N/A,#N/A,FALSE,"AA";#N/A,#N/A,FALSE,"BB";#N/A,#N/A,FALSE,"CC";#N/A,#N/A,FALSE,"DD";#N/A,#N/A,FALSE,"EE";#N/A,#N/A,FALSE,"FF";#N/A,#N/A,FALSE,"PL10";#N/A,#N/A,FALSE,"PL20";#N/A,#N/A,FALSE,"PL30"}</definedName>
    <definedName name="ㄴㅇ" hidden="1">{#N/A,#N/A,FALSE,"BS";#N/A,#N/A,FALSE,"PL";#N/A,#N/A,FALSE,"A";#N/A,#N/A,FALSE,"B";#N/A,#N/A,FALSE,"B1";#N/A,#N/A,FALSE,"C";#N/A,#N/A,FALSE,"C1";#N/A,#N/A,FALSE,"C2";#N/A,#N/A,FALSE,"D";#N/A,#N/A,FALSE,"E";#N/A,#N/A,FALSE,"F";#N/A,#N/A,FALSE,"AA";#N/A,#N/A,FALSE,"BB";#N/A,#N/A,FALSE,"CC";#N/A,#N/A,FALSE,"DD";#N/A,#N/A,FALSE,"EE";#N/A,#N/A,FALSE,"FF";#N/A,#N/A,FALSE,"PL10";#N/A,#N/A,FALSE,"PL20";#N/A,#N/A,FALSE,"PL30"}</definedName>
    <definedName name="ㅁ" localSheetId="13" hidden="1">{#N/A,#N/A,FALSE,"인원";#N/A,#N/A,FALSE,"비용2";#N/A,#N/A,FALSE,"비용1";#N/A,#N/A,FALSE,"비용";#N/A,#N/A,FALSE,"보증2";#N/A,#N/A,FALSE,"보증1";#N/A,#N/A,FALSE,"보증";#N/A,#N/A,FALSE,"손익1";#N/A,#N/A,FALSE,"손익";#N/A,#N/A,FALSE,"부서별매출";#N/A,#N/A,FALSE,"매출"}</definedName>
    <definedName name="ㅁ" localSheetId="9" hidden="1">{#N/A,#N/A,FALSE,"인원";#N/A,#N/A,FALSE,"비용2";#N/A,#N/A,FALSE,"비용1";#N/A,#N/A,FALSE,"비용";#N/A,#N/A,FALSE,"보증2";#N/A,#N/A,FALSE,"보증1";#N/A,#N/A,FALSE,"보증";#N/A,#N/A,FALSE,"손익1";#N/A,#N/A,FALSE,"손익";#N/A,#N/A,FALSE,"부서별매출";#N/A,#N/A,FALSE,"매출"}</definedName>
    <definedName name="ㅁ" hidden="1">{#N/A,#N/A,FALSE,"인원";#N/A,#N/A,FALSE,"비용2";#N/A,#N/A,FALSE,"비용1";#N/A,#N/A,FALSE,"비용";#N/A,#N/A,FALSE,"보증2";#N/A,#N/A,FALSE,"보증1";#N/A,#N/A,FALSE,"보증";#N/A,#N/A,FALSE,"손익1";#N/A,#N/A,FALSE,"손익";#N/A,#N/A,FALSE,"부서별매출";#N/A,#N/A,FALSE,"매출"}</definedName>
    <definedName name="ㅁㅁㅁ"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미" localSheetId="13" hidden="1">{#N/A,#N/A,TRUE,"일정"}</definedName>
    <definedName name="미" localSheetId="9" hidden="1">{#N/A,#N/A,TRUE,"일정"}</definedName>
    <definedName name="미" hidden="1">{#N/A,#N/A,TRUE,"일정"}</definedName>
    <definedName name="미승인"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용총괄" localSheetId="13" hidden="1">{#N/A,#N/A,FALSE,"인원";#N/A,#N/A,FALSE,"비용2";#N/A,#N/A,FALSE,"비용1";#N/A,#N/A,FALSE,"비용";#N/A,#N/A,FALSE,"보증2";#N/A,#N/A,FALSE,"보증1";#N/A,#N/A,FALSE,"보증";#N/A,#N/A,FALSE,"손익1";#N/A,#N/A,FALSE,"손익";#N/A,#N/A,FALSE,"부서별매출";#N/A,#N/A,FALSE,"매출"}</definedName>
    <definedName name="비용총괄" localSheetId="9" hidden="1">{#N/A,#N/A,FALSE,"인원";#N/A,#N/A,FALSE,"비용2";#N/A,#N/A,FALSE,"비용1";#N/A,#N/A,FALSE,"비용";#N/A,#N/A,FALSE,"보증2";#N/A,#N/A,FALSE,"보증1";#N/A,#N/A,FALSE,"보증";#N/A,#N/A,FALSE,"손익1";#N/A,#N/A,FALSE,"손익";#N/A,#N/A,FALSE,"부서별매출";#N/A,#N/A,FALSE,"매출"}</definedName>
    <definedName name="비용총괄" hidden="1">{#N/A,#N/A,FALSE,"인원";#N/A,#N/A,FALSE,"비용2";#N/A,#N/A,FALSE,"비용1";#N/A,#N/A,FALSE,"비용";#N/A,#N/A,FALSE,"보증2";#N/A,#N/A,FALSE,"보증1";#N/A,#N/A,FALSE,"보증";#N/A,#N/A,FALSE,"손익1";#N/A,#N/A,FALSE,"손익";#N/A,#N/A,FALSE,"부서별매출";#N/A,#N/A,FALSE,"매출"}</definedName>
    <definedName name="생산혁신"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혁신"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혁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셀리카" hidden="1">#REF!</definedName>
    <definedName name="수정" localSheetId="13" hidden="1">{#N/A,#N/A,TRUE,"일정"}</definedName>
    <definedName name="수정" localSheetId="9" hidden="1">{#N/A,#N/A,TRUE,"일정"}</definedName>
    <definedName name="수정" hidden="1">{#N/A,#N/A,TRUE,"일정"}</definedName>
    <definedName name="시기조정" localSheetId="13" hidden="1">{#N/A,#N/A,FALSE,"인원";#N/A,#N/A,FALSE,"비용2";#N/A,#N/A,FALSE,"비용1";#N/A,#N/A,FALSE,"비용";#N/A,#N/A,FALSE,"보증2";#N/A,#N/A,FALSE,"보증1";#N/A,#N/A,FALSE,"보증";#N/A,#N/A,FALSE,"손익1";#N/A,#N/A,FALSE,"손익";#N/A,#N/A,FALSE,"부서별매출";#N/A,#N/A,FALSE,"매출"}</definedName>
    <definedName name="시기조정" localSheetId="9"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신용" localSheetId="13" hidden="1">{#N/A,#N/A,FALSE,"인원";#N/A,#N/A,FALSE,"비용2";#N/A,#N/A,FALSE,"비용1";#N/A,#N/A,FALSE,"비용";#N/A,#N/A,FALSE,"보증2";#N/A,#N/A,FALSE,"보증1";#N/A,#N/A,FALSE,"보증";#N/A,#N/A,FALSE,"손익1";#N/A,#N/A,FALSE,"손익";#N/A,#N/A,FALSE,"부서별매출";#N/A,#N/A,FALSE,"매출"}</definedName>
    <definedName name="신용" localSheetId="9"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3" hidden="1">{#N/A,#N/A,FALSE,"인원";#N/A,#N/A,FALSE,"비용2";#N/A,#N/A,FALSE,"비용1";#N/A,#N/A,FALSE,"비용";#N/A,#N/A,FALSE,"보증2";#N/A,#N/A,FALSE,"보증1";#N/A,#N/A,FALSE,"보증";#N/A,#N/A,FALSE,"손익1";#N/A,#N/A,FALSE,"손익";#N/A,#N/A,FALSE,"부서별매출";#N/A,#N/A,FALSE,"매출"}</definedName>
    <definedName name="신용1" localSheetId="9"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ㄴ" localSheetId="13" hidden="1">{#N/A,#N/A,FALSE,"BS";#N/A,#N/A,FALSE,"PL";#N/A,#N/A,FALSE,"A";#N/A,#N/A,FALSE,"B";#N/A,#N/A,FALSE,"B1";#N/A,#N/A,FALSE,"C";#N/A,#N/A,FALSE,"C1";#N/A,#N/A,FALSE,"C2";#N/A,#N/A,FALSE,"D";#N/A,#N/A,FALSE,"E";#N/A,#N/A,FALSE,"F";#N/A,#N/A,FALSE,"AA";#N/A,#N/A,FALSE,"BB";#N/A,#N/A,FALSE,"CC";#N/A,#N/A,FALSE,"DD";#N/A,#N/A,FALSE,"EE";#N/A,#N/A,FALSE,"FF";#N/A,#N/A,FALSE,"PL10";#N/A,#N/A,FALSE,"PL20";#N/A,#N/A,FALSE,"PL30"}</definedName>
    <definedName name="ㅇㄴ" localSheetId="9" hidden="1">{#N/A,#N/A,FALSE,"BS";#N/A,#N/A,FALSE,"PL";#N/A,#N/A,FALSE,"A";#N/A,#N/A,FALSE,"B";#N/A,#N/A,FALSE,"B1";#N/A,#N/A,FALSE,"C";#N/A,#N/A,FALSE,"C1";#N/A,#N/A,FALSE,"C2";#N/A,#N/A,FALSE,"D";#N/A,#N/A,FALSE,"E";#N/A,#N/A,FALSE,"F";#N/A,#N/A,FALSE,"AA";#N/A,#N/A,FALSE,"BB";#N/A,#N/A,FALSE,"CC";#N/A,#N/A,FALSE,"DD";#N/A,#N/A,FALSE,"EE";#N/A,#N/A,FALSE,"FF";#N/A,#N/A,FALSE,"PL10";#N/A,#N/A,FALSE,"PL20";#N/A,#N/A,FALSE,"PL30"}</definedName>
    <definedName name="ㅇㄴ" hidden="1">{#N/A,#N/A,FALSE,"BS";#N/A,#N/A,FALSE,"PL";#N/A,#N/A,FALSE,"A";#N/A,#N/A,FALSE,"B";#N/A,#N/A,FALSE,"B1";#N/A,#N/A,FALSE,"C";#N/A,#N/A,FALSE,"C1";#N/A,#N/A,FALSE,"C2";#N/A,#N/A,FALSE,"D";#N/A,#N/A,FALSE,"E";#N/A,#N/A,FALSE,"F";#N/A,#N/A,FALSE,"AA";#N/A,#N/A,FALSE,"BB";#N/A,#N/A,FALSE,"CC";#N/A,#N/A,FALSE,"DD";#N/A,#N/A,FALSE,"EE";#N/A,#N/A,FALSE,"FF";#N/A,#N/A,FALSE,"PL10";#N/A,#N/A,FALSE,"PL20";#N/A,#N/A,FALSE,"PL30"}</definedName>
    <definedName name="아앙"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월별목표"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목표"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목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반경비"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반경비"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반경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정비대수" localSheetId="13" hidden="1">{#N/A,#N/A,FALSE,"인원";#N/A,#N/A,FALSE,"비용2";#N/A,#N/A,FALSE,"비용1";#N/A,#N/A,FALSE,"비용";#N/A,#N/A,FALSE,"보증2";#N/A,#N/A,FALSE,"보증1";#N/A,#N/A,FALSE,"보증";#N/A,#N/A,FALSE,"손익1";#N/A,#N/A,FALSE,"손익";#N/A,#N/A,FALSE,"부서별매출";#N/A,#N/A,FALSE,"매출"}</definedName>
    <definedName name="정비대수" localSheetId="9"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중" localSheetId="13" hidden="1">{#N/A,#N/A,FALSE,"인원";#N/A,#N/A,FALSE,"비용2";#N/A,#N/A,FALSE,"비용1";#N/A,#N/A,FALSE,"비용";#N/A,#N/A,FALSE,"보증2";#N/A,#N/A,FALSE,"보증1";#N/A,#N/A,FALSE,"보증";#N/A,#N/A,FALSE,"손익1";#N/A,#N/A,FALSE,"손익";#N/A,#N/A,FALSE,"부서별매출";#N/A,#N/A,FALSE,"매출"}</definedName>
    <definedName name="중" localSheetId="9" hidden="1">{#N/A,#N/A,FALSE,"인원";#N/A,#N/A,FALSE,"비용2";#N/A,#N/A,FALSE,"비용1";#N/A,#N/A,FALSE,"비용";#N/A,#N/A,FALSE,"보증2";#N/A,#N/A,FALSE,"보증1";#N/A,#N/A,FALSE,"보증";#N/A,#N/A,FALSE,"손익1";#N/A,#N/A,FALSE,"손익";#N/A,#N/A,FALSE,"부서별매출";#N/A,#N/A,FALSE,"매출"}</definedName>
    <definedName name="중" hidden="1">{#N/A,#N/A,FALSE,"인원";#N/A,#N/A,FALSE,"비용2";#N/A,#N/A,FALSE,"비용1";#N/A,#N/A,FALSE,"비용";#N/A,#N/A,FALSE,"보증2";#N/A,#N/A,FALSE,"보증1";#N/A,#N/A,FALSE,"보증";#N/A,#N/A,FALSE,"손익1";#N/A,#N/A,FALSE,"손익";#N/A,#N/A,FALSE,"부서별매출";#N/A,#N/A,FALSE,"매출"}</definedName>
    <definedName name="중표지" localSheetId="13" hidden="1">{#N/A,#N/A,FALSE,"인원";#N/A,#N/A,FALSE,"비용2";#N/A,#N/A,FALSE,"비용1";#N/A,#N/A,FALSE,"비용";#N/A,#N/A,FALSE,"보증2";#N/A,#N/A,FALSE,"보증1";#N/A,#N/A,FALSE,"보증";#N/A,#N/A,FALSE,"손익1";#N/A,#N/A,FALSE,"손익";#N/A,#N/A,FALSE,"부서별매출";#N/A,#N/A,FALSE,"매출"}</definedName>
    <definedName name="중표지" localSheetId="9"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13" hidden="1">{#N/A,#N/A,FALSE,"인원";#N/A,#N/A,FALSE,"비용2";#N/A,#N/A,FALSE,"비용1";#N/A,#N/A,FALSE,"비용";#N/A,#N/A,FALSE,"보증2";#N/A,#N/A,FALSE,"보증1";#N/A,#N/A,FALSE,"보증";#N/A,#N/A,FALSE,"손익1";#N/A,#N/A,FALSE,"손익";#N/A,#N/A,FALSE,"부서별매출";#N/A,#N/A,FALSE,"매출"}</definedName>
    <definedName name="중표지5" localSheetId="9"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울것"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ㅊㅊ" localSheetId="13" hidden="1">{#N/A,#N/A,FALSE,"인원";#N/A,#N/A,FALSE,"비용2";#N/A,#N/A,FALSE,"비용1";#N/A,#N/A,FALSE,"비용";#N/A,#N/A,FALSE,"보증2";#N/A,#N/A,FALSE,"보증1";#N/A,#N/A,FALSE,"보증";#N/A,#N/A,FALSE,"손익1";#N/A,#N/A,FALSE,"손익";#N/A,#N/A,FALSE,"부서별매출";#N/A,#N/A,FALSE,"매출"}</definedName>
    <definedName name="ㅊㅊㅊㅊㅊ" localSheetId="9"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판매보증" localSheetId="13" hidden="1">{#N/A,#N/A,FALSE,"인원";#N/A,#N/A,FALSE,"비용2";#N/A,#N/A,FALSE,"비용1";#N/A,#N/A,FALSE,"비용";#N/A,#N/A,FALSE,"보증2";#N/A,#N/A,FALSE,"보증1";#N/A,#N/A,FALSE,"보증";#N/A,#N/A,FALSE,"손익1";#N/A,#N/A,FALSE,"손익";#N/A,#N/A,FALSE,"부서별매출";#N/A,#N/A,FALSE,"매출"}</definedName>
    <definedName name="판매보증" localSheetId="9"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편집" localSheetId="13" hidden="1">{#N/A,#N/A,FALSE,"BS";#N/A,#N/A,FALSE,"PL";#N/A,#N/A,FALSE,"처분";#N/A,#N/A,FALSE,"현금";#N/A,#N/A,FALSE,"매출";#N/A,#N/A,FALSE,"원가";#N/A,#N/A,FALSE,"경영"}</definedName>
    <definedName name="편집" localSheetId="9" hidden="1">{#N/A,#N/A,FALSE,"BS";#N/A,#N/A,FALSE,"PL";#N/A,#N/A,FALSE,"처분";#N/A,#N/A,FALSE,"현금";#N/A,#N/A,FALSE,"매출";#N/A,#N/A,FALSE,"원가";#N/A,#N/A,FALSE,"경영"}</definedName>
    <definedName name="편집" hidden="1">{#N/A,#N/A,FALSE,"BS";#N/A,#N/A,FALSE,"PL";#N/A,#N/A,FALSE,"처분";#N/A,#N/A,FALSE,"현금";#N/A,#N/A,FALSE,"매출";#N/A,#N/A,FALSE,"원가";#N/A,#N/A,FALSE,"경영"}</definedName>
    <definedName name="현금및등가물" localSheetId="13" hidden="1">{#N/A,#N/A,FALSE,"BS";#N/A,#N/A,FALSE,"PL";#N/A,#N/A,FALSE,"A";#N/A,#N/A,FALSE,"B";#N/A,#N/A,FALSE,"B1";#N/A,#N/A,FALSE,"C";#N/A,#N/A,FALSE,"C1";#N/A,#N/A,FALSE,"C2";#N/A,#N/A,FALSE,"D";#N/A,#N/A,FALSE,"E";#N/A,#N/A,FALSE,"F";#N/A,#N/A,FALSE,"AA";#N/A,#N/A,FALSE,"BB";#N/A,#N/A,FALSE,"CC";#N/A,#N/A,FALSE,"DD";#N/A,#N/A,FALSE,"EE";#N/A,#N/A,FALSE,"FF";#N/A,#N/A,FALSE,"PL10";#N/A,#N/A,FALSE,"PL20";#N/A,#N/A,FALSE,"PL30"}</definedName>
    <definedName name="현금및등가물" localSheetId="9"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ㅏ아"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ㅏ"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中速">#REF!</definedName>
    <definedName name="内容" localSheetId="13">#REF!</definedName>
    <definedName name="内容">#REF!</definedName>
    <definedName name="列削除_本当にい" localSheetId="13">#REF!</definedName>
    <definedName name="列削除_本当にい">#REF!</definedName>
    <definedName name="列幅変更なわけ">#N/A</definedName>
    <definedName name="列挿入してみそ" localSheetId="13">#REF!</definedName>
    <definedName name="列挿入してみそ">#REF!</definedName>
    <definedName name="効果額">#REF!</definedName>
    <definedName name="効率性">#REF!</definedName>
    <definedName name="勝">#REF!</definedName>
    <definedName name="印刷">#N/A</definedName>
    <definedName name="収益">#REF!</definedName>
    <definedName name="収益性">#REF!</definedName>
    <definedName name="問題点区分・商品性">#REF!</definedName>
    <definedName name="問題点区分・得意先設変">#REF!</definedName>
    <definedName name="問題点区分・性能">#REF!</definedName>
    <definedName name="問題点区分・成形・金型">#REF!</definedName>
    <definedName name="問題点区分・生産性">#REF!</definedName>
    <definedName name="問題点区分・組立">#REF!</definedName>
    <definedName name="問題点区分・表面処理">#REF!</definedName>
    <definedName name="問題点区分・設計ﾐｽ">#REF!</definedName>
    <definedName name="問題点区分・金型">#REF!</definedName>
    <definedName name="型代" localSheetId="13">#REF!</definedName>
    <definedName name="型代">#REF!</definedName>
    <definedName name="型代系" localSheetId="13">#REF!</definedName>
    <definedName name="型代系">#REF!</definedName>
    <definedName name="型代計" localSheetId="13">#REF!</definedName>
    <definedName name="型代計">#REF!</definedName>
    <definedName name="型費計">#REF!</definedName>
    <definedName name="基本デタ">#REF!</definedName>
    <definedName name="太めの線の">#REF!</definedName>
    <definedName name="安全性">#REF!</definedName>
    <definedName name="実行計画">#REF!</definedName>
    <definedName name="工事">#REF!</definedName>
    <definedName name="得意先">#REF!</definedName>
    <definedName name="性能">#REF!</definedName>
    <definedName name="日産呼称DATA">#REF!</definedName>
    <definedName name="普通の太さの" localSheetId="13">#REF!</definedName>
    <definedName name="普通の太さの">#REF!</definedName>
    <definedName name="標準化への落し込み">#REF!</definedName>
    <definedName name="点線の">#N/A</definedName>
    <definedName name="現法">#REF!</definedName>
    <definedName name="生産性">#REF!</definedName>
    <definedName name="発生区分__加工">#REF!</definedName>
    <definedName name="発生区分__外観">#REF!</definedName>
    <definedName name="発生区分__機能">#REF!</definedName>
    <definedName name="発生区分__欠品">#REF!</definedName>
    <definedName name="発生区分__水入り">#REF!</definedName>
    <definedName name="発生区分__組付">#REF!</definedName>
    <definedName name="直轄" localSheetId="13">#REF!</definedName>
    <definedName name="直轄">#REF!</definedName>
    <definedName name="社名" localSheetId="13">#REF!</definedName>
    <definedName name="社名">#REF!</definedName>
    <definedName name="種別">#REF!</definedName>
    <definedName name="素子数" localSheetId="13">#REF!</definedName>
    <definedName name="素子数">#REF!</definedName>
    <definedName name="経営指標" localSheetId="13">#REF!</definedName>
    <definedName name="経営指標">#REF!</definedName>
    <definedName name="統合型代" localSheetId="13">#REF!</definedName>
    <definedName name="統合型代">#REF!</definedName>
    <definedName name="統合型費">#REF!</definedName>
    <definedName name="統合素子数">#REF!</definedName>
    <definedName name="統合部品費">#REF!</definedName>
    <definedName name="絵">#REF!</definedName>
    <definedName name="罫線">#N/A</definedName>
    <definedName name="行削除_気をつけ">#REF!</definedName>
    <definedName name="行挿入">#REF!</definedName>
    <definedName name="行間14">#REF!</definedName>
    <definedName name="行間7">#REF!</definedName>
    <definedName name="製品名">#REF!</definedName>
    <definedName name="製造所区分">#REF!</definedName>
    <definedName name="設計区分">#REF!</definedName>
    <definedName name="課名">#REF!</definedName>
    <definedName name="選択">#REF!</definedName>
    <definedName name="選択_B517">#REF!</definedName>
    <definedName name="選択_D510">#REF!</definedName>
    <definedName name="選択_M32">#REF!</definedName>
    <definedName name="選択_M95">#REF!</definedName>
    <definedName name="選択_P30">#REF!</definedName>
    <definedName name="選択_R34">#REF!</definedName>
    <definedName name="選択_T32">#REF!</definedName>
    <definedName name="選択_V01">#REF!</definedName>
    <definedName name="選択_W32">#REF!</definedName>
    <definedName name="選択_W33">#REF!</definedName>
    <definedName name="部名">#REF!</definedName>
    <definedName name="部品費計" localSheetId="13">#REF!</definedName>
    <definedName name="部品費計">#REF!</definedName>
    <definedName name="部署">#REF!</definedName>
    <definedName name="部署１" localSheetId="13">#REF!</definedName>
    <definedName name="部署１">#REF!</definedName>
    <definedName name="閉じる">#REF!</definedName>
    <definedName name="高性能ﾄｰﾁ" localSheetId="13" hidden="1">#REF!</definedName>
    <definedName name="高性能ﾄｰﾁ" localSheetId="9" hidden="1">#REF!</definedName>
    <definedName name="高性能ﾄｰﾁ" hidden="1">#REF!</definedName>
  </definedNames>
  <calcPr calcId="191029"/>
</workbook>
</file>

<file path=xl/calcChain.xml><?xml version="1.0" encoding="utf-8"?>
<calcChain xmlns="http://schemas.openxmlformats.org/spreadsheetml/2006/main">
  <c r="C113" i="68" l="1"/>
  <c r="F16" i="65" l="1"/>
  <c r="F28" i="30"/>
  <c r="F83" i="65"/>
  <c r="E117" i="65" l="1"/>
  <c r="F12" i="59" l="1"/>
  <c r="H20" i="63" l="1"/>
  <c r="H21" i="63"/>
  <c r="F21" i="63"/>
  <c r="C134" i="68"/>
  <c r="C78" i="68"/>
  <c r="F14" i="65"/>
  <c r="E10" i="65" s="1"/>
  <c r="H70" i="63"/>
  <c r="J70" i="63" s="1"/>
  <c r="F93" i="30" l="1"/>
  <c r="D13" i="51" l="1"/>
  <c r="I99" i="68" l="1"/>
  <c r="D66" i="68" l="1"/>
  <c r="F10" i="63"/>
  <c r="D5" i="83" l="1"/>
  <c r="A74" i="30" l="1"/>
  <c r="D93" i="68"/>
  <c r="E29" i="65"/>
  <c r="E70" i="65"/>
  <c r="H14" i="72"/>
  <c r="G14" i="72"/>
  <c r="F14" i="72"/>
  <c r="E68" i="65" s="1"/>
  <c r="E14" i="72"/>
  <c r="E28" i="65" s="1"/>
  <c r="E69" i="65"/>
  <c r="E21" i="72" l="1"/>
  <c r="F83" i="67" l="1"/>
  <c r="G83" i="67"/>
  <c r="G68" i="67" l="1"/>
  <c r="G69" i="67"/>
  <c r="G80" i="65" l="1"/>
  <c r="F42" i="65"/>
  <c r="D37" i="65" s="1"/>
  <c r="F37" i="65" s="1"/>
  <c r="F41" i="65"/>
  <c r="D36" i="65" s="1"/>
  <c r="F36" i="65" s="1"/>
  <c r="D38" i="65" l="1"/>
  <c r="H72" i="63"/>
  <c r="J72" i="63" s="1"/>
  <c r="H68" i="63"/>
  <c r="J68" i="63" s="1"/>
  <c r="H66" i="63"/>
  <c r="J66" i="63" s="1"/>
  <c r="A2" i="63"/>
  <c r="E120" i="30"/>
  <c r="A120" i="30"/>
  <c r="A119" i="30"/>
  <c r="A118" i="30"/>
  <c r="D31" i="51"/>
  <c r="E35" i="51" l="1"/>
  <c r="E36" i="51"/>
  <c r="E47" i="51"/>
  <c r="F40" i="30" l="1"/>
  <c r="C21" i="82"/>
  <c r="D21" i="82"/>
  <c r="F14" i="82"/>
  <c r="F13" i="82"/>
  <c r="F12" i="82"/>
  <c r="E14" i="82"/>
  <c r="D14" i="82"/>
  <c r="B28" i="59" l="1"/>
  <c r="C103" i="68" l="1"/>
  <c r="C18" i="68"/>
  <c r="C10" i="68" l="1"/>
  <c r="C9" i="68"/>
  <c r="C8" i="68"/>
  <c r="H55" i="63" l="1"/>
  <c r="J55" i="63" s="1"/>
  <c r="M51" i="63" l="1"/>
  <c r="M57" i="63"/>
  <c r="M53" i="63"/>
  <c r="H10" i="63" l="1"/>
  <c r="H57" i="63" l="1"/>
  <c r="J57" i="63" s="1"/>
  <c r="H53" i="63"/>
  <c r="J53" i="63" s="1"/>
  <c r="H51" i="63"/>
  <c r="J51" i="63" s="1"/>
  <c r="H12" i="63" l="1"/>
  <c r="E120" i="80" l="1"/>
  <c r="H29" i="64"/>
  <c r="G27" i="64"/>
  <c r="E27" i="64"/>
  <c r="E15" i="65" l="1"/>
  <c r="G14" i="82" l="1"/>
  <c r="C52" i="68" l="1"/>
  <c r="C50" i="68"/>
  <c r="C30" i="68"/>
  <c r="D23" i="68"/>
  <c r="G40" i="30"/>
  <c r="C11" i="82"/>
  <c r="C14" i="82" s="1"/>
  <c r="E55" i="65"/>
  <c r="F22" i="30" s="1"/>
  <c r="F55" i="65"/>
  <c r="G22" i="30" s="1"/>
  <c r="D11" i="68" l="1"/>
  <c r="C11" i="68"/>
  <c r="I142" i="64"/>
  <c r="L18" i="76" l="1"/>
  <c r="L17" i="76"/>
  <c r="L16" i="76"/>
  <c r="L14" i="76"/>
  <c r="L13" i="76"/>
  <c r="L11" i="76"/>
  <c r="L10" i="76"/>
  <c r="L9" i="76"/>
  <c r="L8" i="76"/>
  <c r="L7" i="76"/>
  <c r="XFD10" i="68"/>
  <c r="L12" i="76" l="1"/>
  <c r="L15" i="76"/>
  <c r="O101" i="64" l="1"/>
  <c r="B27" i="72" l="1"/>
  <c r="G10" i="72" l="1"/>
  <c r="F10" i="72"/>
  <c r="E63" i="65" s="1"/>
  <c r="E10" i="72"/>
  <c r="E24" i="65" s="1"/>
  <c r="E30" i="65" s="1"/>
  <c r="F19" i="30" s="1"/>
  <c r="H33" i="72"/>
  <c r="H10" i="72" l="1"/>
  <c r="F11" i="82" l="1"/>
  <c r="G27" i="82"/>
  <c r="G21" i="82" l="1"/>
  <c r="B119" i="65" l="1"/>
  <c r="H41" i="67" l="1"/>
  <c r="D73" i="51"/>
  <c r="E73" i="51" s="1"/>
  <c r="G88" i="67" l="1"/>
  <c r="G49" i="30" s="1"/>
  <c r="F161" i="64" l="1"/>
  <c r="H136" i="64" l="1"/>
  <c r="H135" i="64"/>
  <c r="H131" i="64" s="1"/>
  <c r="H113" i="64" s="1"/>
  <c r="G135" i="64"/>
  <c r="G131" i="64" s="1"/>
  <c r="G113" i="64" s="1"/>
  <c r="D11" i="81" l="1"/>
  <c r="D23" i="81"/>
  <c r="E24" i="64" l="1"/>
  <c r="E23" i="64"/>
  <c r="F49" i="65" l="1"/>
  <c r="E49" i="65"/>
  <c r="F112" i="65"/>
  <c r="A1" i="80" l="1"/>
  <c r="B2" i="82" s="1"/>
  <c r="E148" i="80"/>
  <c r="D148" i="80"/>
  <c r="E147" i="80"/>
  <c r="D147" i="80"/>
  <c r="E146" i="80"/>
  <c r="D146" i="80"/>
  <c r="E140" i="80"/>
  <c r="D140" i="80"/>
  <c r="E139" i="80"/>
  <c r="D139" i="80"/>
  <c r="E130" i="80"/>
  <c r="D130" i="80"/>
  <c r="E129" i="80"/>
  <c r="D129" i="80"/>
  <c r="E128" i="80"/>
  <c r="D128" i="80"/>
  <c r="D132" i="80" s="1"/>
  <c r="E122" i="80"/>
  <c r="D122" i="80"/>
  <c r="E121" i="80"/>
  <c r="D121" i="80"/>
  <c r="E109" i="80"/>
  <c r="E111" i="80" s="1"/>
  <c r="D109" i="80"/>
  <c r="E94" i="80"/>
  <c r="D85" i="80" s="1"/>
  <c r="D94" i="80" s="1"/>
  <c r="E80" i="80"/>
  <c r="D71" i="80" s="1"/>
  <c r="D80" i="80" s="1"/>
  <c r="D100" i="80" s="1"/>
  <c r="E66" i="80"/>
  <c r="D55" i="80" s="1"/>
  <c r="D57" i="80"/>
  <c r="D138" i="80" s="1"/>
  <c r="E49" i="80"/>
  <c r="E99" i="80" s="1"/>
  <c r="D120" i="80"/>
  <c r="G16" i="80"/>
  <c r="G72" i="67"/>
  <c r="D124" i="80" l="1"/>
  <c r="D150" i="80"/>
  <c r="E124" i="80"/>
  <c r="E132" i="80"/>
  <c r="E150" i="80"/>
  <c r="D142" i="80"/>
  <c r="E100" i="80"/>
  <c r="E102" i="80" s="1"/>
  <c r="E104" i="80" s="1"/>
  <c r="D49" i="80"/>
  <c r="D99" i="80" s="1"/>
  <c r="D102" i="80" s="1"/>
  <c r="D104" i="80" s="1"/>
  <c r="E142" i="80"/>
  <c r="D66" i="80"/>
  <c r="D108" i="80" s="1"/>
  <c r="D111" i="80" s="1"/>
  <c r="F120" i="65"/>
  <c r="D43" i="65" l="1"/>
  <c r="F43" i="65"/>
  <c r="G20" i="30" s="1"/>
  <c r="E43" i="65" l="1"/>
  <c r="G108" i="30" s="1"/>
  <c r="F38" i="65" l="1"/>
  <c r="F20" i="30" s="1"/>
  <c r="E38" i="65"/>
  <c r="E77" i="67" l="1"/>
  <c r="E78" i="67" l="1"/>
  <c r="F77" i="67"/>
  <c r="F78" i="67" s="1"/>
  <c r="G84" i="65"/>
  <c r="G83" i="65"/>
  <c r="F27" i="30" s="1"/>
  <c r="G82" i="65"/>
  <c r="G136" i="64" l="1"/>
  <c r="E120" i="65"/>
  <c r="G63" i="67"/>
  <c r="E129" i="30"/>
  <c r="A129" i="30"/>
  <c r="G68" i="30"/>
  <c r="G16" i="67" l="1"/>
  <c r="D32" i="68" l="1"/>
  <c r="I17" i="59"/>
  <c r="E17" i="59"/>
  <c r="K31" i="59"/>
  <c r="L12" i="63"/>
  <c r="G65" i="64" l="1"/>
  <c r="F65" i="64"/>
  <c r="A3" i="63" l="1"/>
  <c r="A2" i="65"/>
  <c r="E95" i="30" l="1"/>
  <c r="H14" i="76"/>
  <c r="H13" i="76"/>
  <c r="H11" i="76"/>
  <c r="H10" i="76"/>
  <c r="H8" i="76"/>
  <c r="H7" i="76"/>
  <c r="H12" i="76" l="1"/>
  <c r="H9" i="76"/>
  <c r="H15" i="76"/>
  <c r="G33" i="72" l="1"/>
  <c r="F33" i="72"/>
  <c r="E33" i="72"/>
  <c r="H30" i="72"/>
  <c r="G30" i="72"/>
  <c r="E30" i="72"/>
  <c r="B32" i="72"/>
  <c r="I25" i="59" l="1"/>
  <c r="E25" i="59"/>
  <c r="H55" i="67"/>
  <c r="H45" i="67"/>
  <c r="J25" i="59" l="1"/>
  <c r="F30" i="65" l="1"/>
  <c r="G56" i="67" l="1"/>
  <c r="F56" i="67"/>
  <c r="E56" i="67"/>
  <c r="D56" i="67"/>
  <c r="C56" i="67"/>
  <c r="G46" i="67" l="1"/>
  <c r="F46" i="67"/>
  <c r="E46" i="67"/>
  <c r="D46" i="67"/>
  <c r="C46" i="67"/>
  <c r="F85" i="65"/>
  <c r="E85" i="65"/>
  <c r="D85" i="65"/>
  <c r="C85" i="65"/>
  <c r="F96" i="65"/>
  <c r="E96" i="65"/>
  <c r="D96" i="65"/>
  <c r="C96" i="65"/>
  <c r="E56" i="51" l="1"/>
  <c r="G92" i="30" l="1"/>
  <c r="G91" i="30"/>
  <c r="D34" i="68"/>
  <c r="G81" i="65" l="1"/>
  <c r="G91" i="65"/>
  <c r="G92" i="65"/>
  <c r="L51" i="64" l="1"/>
  <c r="M51" i="64"/>
  <c r="B13" i="72" l="1"/>
  <c r="B9" i="72" l="1"/>
  <c r="A2" i="59" l="1"/>
  <c r="A2" i="72" s="1"/>
  <c r="B2" i="76" s="1"/>
  <c r="B3" i="51"/>
  <c r="E31" i="59" l="1"/>
  <c r="J31" i="59" s="1"/>
  <c r="I16" i="59" l="1"/>
  <c r="I15" i="59"/>
  <c r="I14" i="59"/>
  <c r="I13" i="59"/>
  <c r="I12" i="59"/>
  <c r="E10" i="64" l="1"/>
  <c r="G85" i="65"/>
  <c r="C24" i="81" a="1"/>
  <c r="C24" i="81" l="1"/>
  <c r="D44" i="51"/>
  <c r="A125" i="30"/>
  <c r="D124" i="68" l="1"/>
  <c r="G107" i="30" s="1"/>
  <c r="E25" i="51" s="1"/>
  <c r="F83" i="30" l="1"/>
  <c r="C19" i="81" s="1"/>
  <c r="C33" i="81" s="1"/>
  <c r="A2" i="67"/>
  <c r="A2" i="68" s="1"/>
  <c r="A2" i="64" s="1"/>
  <c r="C27" i="81" l="1"/>
  <c r="A1" i="67"/>
  <c r="A1" i="68" s="1"/>
  <c r="A1" i="64" s="1"/>
  <c r="D137" i="68"/>
  <c r="D129" i="68"/>
  <c r="B129" i="68"/>
  <c r="D116" i="68"/>
  <c r="G94" i="30" s="1"/>
  <c r="D103" i="68"/>
  <c r="D71" i="68"/>
  <c r="D59" i="68"/>
  <c r="D53" i="68"/>
  <c r="C53" i="68"/>
  <c r="D42" i="68"/>
  <c r="D15" i="68"/>
  <c r="D27" i="68" s="1"/>
  <c r="D39" i="68" s="1"/>
  <c r="D47" i="68" s="1"/>
  <c r="C15" i="68"/>
  <c r="G28" i="30"/>
  <c r="H54" i="67"/>
  <c r="H53" i="67"/>
  <c r="H52" i="67"/>
  <c r="H51" i="67"/>
  <c r="H44" i="67"/>
  <c r="H42" i="67"/>
  <c r="B60" i="67"/>
  <c r="B67" i="67" s="1"/>
  <c r="G34" i="67"/>
  <c r="G25" i="67"/>
  <c r="G95" i="65"/>
  <c r="G94" i="65"/>
  <c r="G27" i="30" s="1" a="1"/>
  <c r="G27" i="30" s="1"/>
  <c r="G93" i="65"/>
  <c r="F71" i="65"/>
  <c r="F21" i="30"/>
  <c r="F7" i="65"/>
  <c r="F20" i="65" s="1"/>
  <c r="F47" i="65" s="1"/>
  <c r="F53" i="65" s="1"/>
  <c r="E7" i="65"/>
  <c r="E20" i="65" s="1"/>
  <c r="E47" i="65" s="1"/>
  <c r="E53" i="65" s="1"/>
  <c r="E67" i="30"/>
  <c r="E119" i="30"/>
  <c r="E24" i="51" l="1"/>
  <c r="E16" i="51"/>
  <c r="C27" i="68"/>
  <c r="C39" i="68" s="1"/>
  <c r="C47" i="68" s="1"/>
  <c r="C6" i="68"/>
  <c r="C6" i="81"/>
  <c r="D24" i="81" a="1"/>
  <c r="D24" i="81" s="1"/>
  <c r="G40" i="64" s="1"/>
  <c r="F10" i="64"/>
  <c r="F42" i="81"/>
  <c r="D41" i="81"/>
  <c r="D42" i="81"/>
  <c r="F59" i="65"/>
  <c r="G29" i="67" s="1"/>
  <c r="E59" i="65"/>
  <c r="G96" i="65"/>
  <c r="D60" i="68"/>
  <c r="D6" i="68"/>
  <c r="H56" i="67"/>
  <c r="G46" i="30" s="1"/>
  <c r="B82" i="67"/>
  <c r="H46" i="67"/>
  <c r="F46" i="30" s="1"/>
  <c r="H17" i="76" s="1"/>
  <c r="F29" i="67" l="1"/>
  <c r="F20" i="67"/>
  <c r="G38" i="64"/>
  <c r="D20" i="81"/>
  <c r="C20" i="81"/>
  <c r="F39" i="64" s="1"/>
  <c r="E116" i="65"/>
  <c r="F6" i="67"/>
  <c r="F60" i="67" s="1"/>
  <c r="F82" i="67" s="1"/>
  <c r="E101" i="65"/>
  <c r="F101" i="65"/>
  <c r="F116" i="65"/>
  <c r="G6" i="67"/>
  <c r="G60" i="67" s="1"/>
  <c r="G67" i="67" s="1"/>
  <c r="F67" i="67" l="1"/>
  <c r="G82" i="67"/>
  <c r="D63" i="51" l="1"/>
  <c r="K26" i="59"/>
  <c r="A1" i="59"/>
  <c r="A1" i="72" s="1"/>
  <c r="B74" i="51"/>
  <c r="B73" i="51"/>
  <c r="B72" i="51"/>
  <c r="E72" i="51" s="1"/>
  <c r="J20" i="63"/>
  <c r="D134" i="68" s="1"/>
  <c r="J13" i="63"/>
  <c r="L13" i="63"/>
  <c r="G13" i="30" s="1"/>
  <c r="J10" i="63"/>
  <c r="L10" i="63" s="1"/>
  <c r="F13" i="63"/>
  <c r="H13" i="63"/>
  <c r="F13" i="30" s="1"/>
  <c r="A20" i="62"/>
  <c r="A27" i="62" s="1"/>
  <c r="A34" i="62" s="1"/>
  <c r="A44" i="62" s="1"/>
  <c r="A49" i="62" s="1"/>
  <c r="A62" i="62" s="1"/>
  <c r="A68" i="62" s="1"/>
  <c r="J23" i="63" l="1"/>
  <c r="F23" i="63"/>
  <c r="D72" i="51"/>
  <c r="L20" i="63"/>
  <c r="L23" i="63" s="1"/>
  <c r="H23" i="63"/>
  <c r="C135" i="68" l="1"/>
  <c r="C136" i="68" s="1"/>
  <c r="D135" i="68"/>
  <c r="D136" i="68" s="1"/>
  <c r="A130" i="30"/>
  <c r="E12" i="59"/>
  <c r="J12" i="59" s="1"/>
  <c r="E15" i="59"/>
  <c r="D17" i="51"/>
  <c r="B62" i="51"/>
  <c r="B64" i="51"/>
  <c r="B69" i="51"/>
  <c r="B70" i="51"/>
  <c r="B71" i="51"/>
  <c r="E13" i="59"/>
  <c r="E14" i="59"/>
  <c r="E16" i="59"/>
  <c r="B20" i="59"/>
  <c r="C20" i="59"/>
  <c r="C36" i="59" s="1"/>
  <c r="D20" i="59"/>
  <c r="H20" i="59"/>
  <c r="H36" i="59" s="1"/>
  <c r="F95" i="30" s="1"/>
  <c r="K20" i="59"/>
  <c r="E26" i="59"/>
  <c r="D28" i="59"/>
  <c r="H28" i="59"/>
  <c r="K28" i="59"/>
  <c r="E33" i="59"/>
  <c r="B33" i="59"/>
  <c r="C33" i="59"/>
  <c r="D33" i="59"/>
  <c r="F33" i="59"/>
  <c r="G33" i="59"/>
  <c r="H33" i="59"/>
  <c r="I33" i="59"/>
  <c r="J33" i="59"/>
  <c r="K33" i="59"/>
  <c r="G67" i="30"/>
  <c r="A115" i="30"/>
  <c r="A128" i="30"/>
  <c r="E128" i="30" s="1"/>
  <c r="G129" i="30"/>
  <c r="G19" i="30"/>
  <c r="G21" i="30"/>
  <c r="G25" i="30"/>
  <c r="G30" i="30"/>
  <c r="G41" i="30"/>
  <c r="G42" i="30"/>
  <c r="G45" i="30"/>
  <c r="G47" i="30"/>
  <c r="D50" i="51" s="1"/>
  <c r="G48" i="30"/>
  <c r="G83" i="30"/>
  <c r="G84" i="30"/>
  <c r="G89" i="30"/>
  <c r="G96" i="30"/>
  <c r="G51" i="30" l="1"/>
  <c r="E23" i="51"/>
  <c r="D36" i="59"/>
  <c r="B36" i="59"/>
  <c r="K36" i="59"/>
  <c r="D19" i="81"/>
  <c r="D43" i="51"/>
  <c r="D6" i="81"/>
  <c r="D2" i="81"/>
  <c r="J13" i="59"/>
  <c r="J17" i="59"/>
  <c r="J16" i="59"/>
  <c r="J14" i="59"/>
  <c r="J15" i="59"/>
  <c r="D30" i="51"/>
  <c r="D32" i="51"/>
  <c r="E20" i="59"/>
  <c r="F20" i="59"/>
  <c r="E28" i="59"/>
  <c r="F28" i="59"/>
  <c r="G97" i="30"/>
  <c r="G88" i="30"/>
  <c r="G29" i="30"/>
  <c r="G86" i="30"/>
  <c r="G128" i="30"/>
  <c r="E27" i="51" l="1"/>
  <c r="E49" i="51" s="1"/>
  <c r="E51" i="51" s="1"/>
  <c r="H56" i="51" s="1"/>
  <c r="F36" i="59"/>
  <c r="E36" i="59"/>
  <c r="D33" i="81"/>
  <c r="D27" i="81"/>
  <c r="G39" i="64"/>
  <c r="H39" i="64" s="1"/>
  <c r="D3" i="81"/>
  <c r="J20" i="59"/>
  <c r="F38" i="30" s="1"/>
  <c r="G99" i="30"/>
  <c r="G100" i="30" s="1"/>
  <c r="D37" i="81" l="1"/>
  <c r="G34" i="64"/>
  <c r="D10" i="81"/>
  <c r="G36" i="64" s="1"/>
  <c r="D36" i="81"/>
  <c r="G41" i="64"/>
  <c r="G103" i="30"/>
  <c r="G105" i="30" s="1"/>
  <c r="G109" i="30" s="1"/>
  <c r="G43" i="64" l="1"/>
  <c r="D133" i="68" l="1"/>
  <c r="D139" i="68" s="1"/>
  <c r="D140" i="68" s="1"/>
  <c r="G112" i="30" s="1"/>
  <c r="D15" i="81"/>
  <c r="D32" i="81" s="1"/>
  <c r="G42" i="64" s="1"/>
  <c r="G14" i="30"/>
  <c r="G32" i="30" s="1"/>
  <c r="D16" i="81" l="1"/>
  <c r="G37" i="64" s="1"/>
  <c r="D7" i="81"/>
  <c r="G35" i="64" s="1"/>
  <c r="G111" i="30"/>
  <c r="G20" i="59" l="1"/>
  <c r="I20" i="59"/>
  <c r="G28" i="59"/>
  <c r="I26" i="59"/>
  <c r="G36" i="59" l="1"/>
  <c r="J26" i="59"/>
  <c r="I28" i="59"/>
  <c r="I36" i="59" s="1"/>
  <c r="J28" i="59" l="1"/>
  <c r="F39" i="30" s="1"/>
  <c r="G44" i="59" l="1"/>
  <c r="J36" i="59"/>
  <c r="J44" i="59" l="1"/>
  <c r="F30" i="30"/>
  <c r="E64" i="65" l="1"/>
  <c r="E71" i="65" s="1"/>
  <c r="F25" i="30" s="1"/>
  <c r="F30" i="72"/>
  <c r="D46" i="51" l="1"/>
  <c r="C68" i="68" l="1"/>
  <c r="C114" i="68" l="1"/>
  <c r="C124" i="68" l="1"/>
  <c r="F107" i="30" s="1"/>
  <c r="D25" i="51" s="1"/>
  <c r="C41" i="68" l="1"/>
  <c r="C42" i="68" l="1"/>
  <c r="F89" i="30" s="1"/>
  <c r="F62" i="67" l="1"/>
  <c r="D54" i="51" s="1"/>
  <c r="I85" i="68" l="1"/>
  <c r="I78" i="68" l="1"/>
  <c r="I91" i="68"/>
  <c r="C88" i="68"/>
  <c r="I89" i="68"/>
  <c r="I86" i="68"/>
  <c r="I93" i="68"/>
  <c r="I76" i="68"/>
  <c r="I80" i="68"/>
  <c r="C83" i="68"/>
  <c r="C84" i="68"/>
  <c r="I75" i="68"/>
  <c r="I87" i="68"/>
  <c r="I82" i="68" l="1"/>
  <c r="C86" i="68"/>
  <c r="I88" i="68"/>
  <c r="I77" i="68"/>
  <c r="I90" i="68"/>
  <c r="C81" i="68" l="1"/>
  <c r="I95" i="68"/>
  <c r="I83" i="68"/>
  <c r="C89" i="68"/>
  <c r="C87" i="68"/>
  <c r="C91" i="68"/>
  <c r="C90" i="68"/>
  <c r="C82" i="68" l="1"/>
  <c r="I79" i="68"/>
  <c r="I81" i="68" l="1"/>
  <c r="C111" i="68" l="1"/>
  <c r="C109" i="68"/>
  <c r="C70" i="68"/>
  <c r="C69" i="68"/>
  <c r="C67" i="68"/>
  <c r="F14" i="80" s="1"/>
  <c r="F16" i="80" s="1"/>
  <c r="C21" i="68"/>
  <c r="C16" i="68"/>
  <c r="D14" i="51" s="1"/>
  <c r="D35" i="51" s="1"/>
  <c r="F24" i="67"/>
  <c r="F71" i="67"/>
  <c r="F87" i="67"/>
  <c r="F85" i="67"/>
  <c r="F23" i="67"/>
  <c r="F61" i="67"/>
  <c r="F12" i="67"/>
  <c r="F23" i="64" s="1"/>
  <c r="F14" i="67"/>
  <c r="F24" i="64" s="1"/>
  <c r="F8" i="67"/>
  <c r="F16" i="67" s="1"/>
  <c r="F41" i="30" s="1"/>
  <c r="E109" i="65"/>
  <c r="F29" i="64" l="1"/>
  <c r="D161" i="64"/>
  <c r="C77" i="67"/>
  <c r="C112" i="68"/>
  <c r="D55" i="51"/>
  <c r="D56" i="51" s="1"/>
  <c r="F63" i="67"/>
  <c r="F47" i="30" s="1"/>
  <c r="C110" i="68"/>
  <c r="C11" i="81" s="1"/>
  <c r="E103" i="65"/>
  <c r="F70" i="67"/>
  <c r="C22" i="68"/>
  <c r="C66" i="68"/>
  <c r="C71" i="68" s="1"/>
  <c r="F96" i="30" s="1"/>
  <c r="F22" i="67"/>
  <c r="F25" i="67" s="1"/>
  <c r="F42" i="30" s="1"/>
  <c r="D34" i="51" s="1"/>
  <c r="D36" i="51" s="1"/>
  <c r="E108" i="65"/>
  <c r="F30" i="67"/>
  <c r="C78" i="67" l="1"/>
  <c r="C33" i="68"/>
  <c r="F33" i="67"/>
  <c r="C56" i="68" s="1"/>
  <c r="F32" i="67"/>
  <c r="C58" i="68" s="1"/>
  <c r="F92" i="30" s="1"/>
  <c r="D77" i="67" l="1"/>
  <c r="D78" i="67" s="1"/>
  <c r="C115" i="68"/>
  <c r="F91" i="30"/>
  <c r="C59" i="68"/>
  <c r="C60" i="68" s="1"/>
  <c r="F34" i="67"/>
  <c r="F45" i="30" l="1"/>
  <c r="H42" i="81"/>
  <c r="C42" i="81" s="1"/>
  <c r="D20" i="51" l="1"/>
  <c r="H18" i="76" l="1"/>
  <c r="H16" i="76"/>
  <c r="F86" i="67" l="1"/>
  <c r="F88" i="67" s="1"/>
  <c r="F49" i="30" s="1"/>
  <c r="D19" i="51" l="1"/>
  <c r="E102" i="65"/>
  <c r="I84" i="68" l="1"/>
  <c r="I100" i="68" s="1"/>
  <c r="C85" i="68" s="1"/>
  <c r="C93" i="68" s="1"/>
  <c r="F97" i="30" s="1"/>
  <c r="E104" i="65" l="1"/>
  <c r="C31" i="68" l="1"/>
  <c r="C32" i="68" l="1"/>
  <c r="C34" i="68" s="1"/>
  <c r="F88" i="30" s="1"/>
  <c r="C23" i="81"/>
  <c r="G42" i="81" l="1"/>
  <c r="C41" i="81" s="1"/>
  <c r="F38" i="64" s="1"/>
  <c r="H38" i="64" s="1"/>
  <c r="F40" i="64"/>
  <c r="H40" i="64" s="1"/>
  <c r="C20" i="68" l="1"/>
  <c r="C23" i="68" s="1"/>
  <c r="F84" i="30" s="1"/>
  <c r="F86" i="30" s="1"/>
  <c r="F68" i="67"/>
  <c r="F72" i="67" s="1"/>
  <c r="F48" i="30" s="1"/>
  <c r="D41" i="51" l="1"/>
  <c r="D47" i="51" s="1"/>
  <c r="C2" i="81"/>
  <c r="F51" i="30"/>
  <c r="F37" i="81" s="1"/>
  <c r="F27" i="81" l="1"/>
  <c r="E11" i="64" l="1"/>
  <c r="C116" i="68"/>
  <c r="F94" i="30" s="1"/>
  <c r="D24" i="51" l="1"/>
  <c r="D16" i="51"/>
  <c r="F99" i="30"/>
  <c r="F100" i="30" s="1"/>
  <c r="F103" i="30" l="1"/>
  <c r="F105" i="30" s="1"/>
  <c r="C36" i="81"/>
  <c r="C10" i="81"/>
  <c r="F36" i="64" s="1"/>
  <c r="H36" i="64" s="1"/>
  <c r="D11" i="51" l="1"/>
  <c r="F109" i="30"/>
  <c r="C15" i="81" l="1"/>
  <c r="C32" i="81" s="1"/>
  <c r="F42" i="64" s="1"/>
  <c r="H42" i="64" s="1"/>
  <c r="E11" i="65"/>
  <c r="C133" i="68"/>
  <c r="C139" i="68" s="1"/>
  <c r="F111" i="30" l="1"/>
  <c r="C140" i="68"/>
  <c r="F112" i="30" s="1"/>
  <c r="E14" i="65"/>
  <c r="E16" i="65"/>
  <c r="F14" i="30" s="1"/>
  <c r="C16" i="81" l="1"/>
  <c r="F37" i="64" s="1"/>
  <c r="H37" i="64" s="1"/>
  <c r="C7" i="81"/>
  <c r="F35" i="64" s="1"/>
  <c r="H35" i="64" s="1"/>
  <c r="E112" i="65" l="1"/>
  <c r="F29" i="30" s="1"/>
  <c r="F32" i="30" s="1"/>
  <c r="D21" i="51" l="1"/>
  <c r="D23" i="51" s="1"/>
  <c r="D27" i="51" s="1"/>
  <c r="D49" i="51" s="1"/>
  <c r="D51" i="51" s="1"/>
  <c r="G56" i="51" s="1"/>
  <c r="C3" i="81"/>
  <c r="F28" i="81" l="1"/>
  <c r="F34" i="64"/>
  <c r="H34" i="64" s="1"/>
  <c r="F38" i="81" l="1"/>
  <c r="F39" i="81" s="1"/>
  <c r="C37" i="81" s="1"/>
  <c r="F43" i="64" s="1"/>
  <c r="H43" i="64" s="1"/>
  <c r="F29" i="81"/>
  <c r="C28" i="81" s="1"/>
  <c r="F41" i="64" s="1"/>
  <c r="H41" i="64"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<sst xmlns="http://schemas.openxmlformats.org/spreadsheetml/2006/main" count="1326" uniqueCount="876">
  <si>
    <t>PARTICULARS</t>
  </si>
  <si>
    <t xml:space="preserve"> </t>
  </si>
  <si>
    <t>EQUITY AND LIABILITIES</t>
  </si>
  <si>
    <t>ASSETS</t>
  </si>
  <si>
    <t>Exceptional and Extraordinary Items</t>
  </si>
  <si>
    <t>OTHER CURRENT LIABILITIES</t>
  </si>
  <si>
    <t>CASH &amp; CASH EQUIVALENTS</t>
  </si>
  <si>
    <t>OTHER EXPENSES</t>
  </si>
  <si>
    <t>SHORT TERM PROVISIONS</t>
  </si>
  <si>
    <t>INVENTORIES</t>
  </si>
  <si>
    <t>SHORT TERM LOANS &amp; ADVANCES</t>
  </si>
  <si>
    <t>COST OF MATERIAL CONSUMED</t>
  </si>
  <si>
    <t>RAW MATERIAL CONSUMED</t>
  </si>
  <si>
    <t>Miscellanoues Expenses</t>
  </si>
  <si>
    <t>OTHER CURRENT ASSETS</t>
  </si>
  <si>
    <t>REVENUE FROM OPERATIONS</t>
  </si>
  <si>
    <t>SHARE CAPITAL</t>
  </si>
  <si>
    <t>% of Holding</t>
  </si>
  <si>
    <t>LONG TERM BORROWINGS</t>
  </si>
  <si>
    <t>SECURED</t>
  </si>
  <si>
    <t>UNSECURED</t>
  </si>
  <si>
    <t>SHORT TERM BORROWINGS</t>
  </si>
  <si>
    <t>FINANCE COST</t>
  </si>
  <si>
    <t>Bank Charges</t>
  </si>
  <si>
    <t>TOTAL</t>
  </si>
  <si>
    <t>PURCHASE STOCK IN TRADE</t>
  </si>
  <si>
    <t>Email- Msarda@gabionindia.com, CIN- U74999DL2008PTC195317</t>
  </si>
  <si>
    <t>REGD. OFFICE- N-6, FIRST FLOOR, REAR SIDE, GREEN PARK MAIN, NEW DELHI-110016</t>
  </si>
  <si>
    <t>Factory Office:- Village Puruwala, Post Gorkhuwal, Paonta Sahib, District Sirmour, Himachal Pradesh-173025</t>
  </si>
  <si>
    <t>Insurance Expenses</t>
  </si>
  <si>
    <t>Less: Tax Expenses</t>
  </si>
  <si>
    <t>Inventories</t>
  </si>
  <si>
    <t>Total</t>
  </si>
  <si>
    <t>Total (A)</t>
  </si>
  <si>
    <t>Total (B)</t>
  </si>
  <si>
    <t>Commission Expenses</t>
  </si>
  <si>
    <t>Site Expenses</t>
  </si>
  <si>
    <t>Particulars</t>
  </si>
  <si>
    <t>Closing Balance</t>
  </si>
  <si>
    <t>(i)</t>
  </si>
  <si>
    <t>(ii)</t>
  </si>
  <si>
    <t>Raw Material</t>
  </si>
  <si>
    <t>Finished Goods</t>
  </si>
  <si>
    <t>Installation and Job Work Expenses</t>
  </si>
  <si>
    <t>Cash flows from operating activities</t>
  </si>
  <si>
    <t>Profit before taxation</t>
  </si>
  <si>
    <t>Adjustments for:</t>
  </si>
  <si>
    <t>Depreciation</t>
  </si>
  <si>
    <t>Investment income</t>
  </si>
  <si>
    <t>Interest expense</t>
  </si>
  <si>
    <t>Profit / (Loss) on the sale of property, plant &amp; equipment</t>
  </si>
  <si>
    <t>Working capital changes:</t>
  </si>
  <si>
    <t>(Increase) / Decrease in trade and other receivables</t>
  </si>
  <si>
    <t>(Increase) / Decrease in inventories</t>
  </si>
  <si>
    <t>Cash generated from operations</t>
  </si>
  <si>
    <t>Dividends paid</t>
  </si>
  <si>
    <t>Net cash from operating activities</t>
  </si>
  <si>
    <t>Cash flows from investing activities</t>
  </si>
  <si>
    <t>Purchase of property, plant and equipment</t>
  </si>
  <si>
    <t>Proceeds from sale of equipment</t>
  </si>
  <si>
    <t>Net cash used in investing activities</t>
  </si>
  <si>
    <t>Cash flows from financing activities</t>
  </si>
  <si>
    <t>Proceeds from issue of share capital</t>
  </si>
  <si>
    <t>Net cash used in financing activities</t>
  </si>
  <si>
    <t>Net increase in cash and cash equivalents</t>
  </si>
  <si>
    <t>Cash and cash equivalents at beginning of period</t>
  </si>
  <si>
    <t>As per our report of even date attached</t>
  </si>
  <si>
    <t>Increase / (Decrease) in trade and other payables</t>
  </si>
  <si>
    <t>Payment of Short-term borrowings</t>
  </si>
  <si>
    <t>Proceeds from Short-term borrowings</t>
  </si>
  <si>
    <t>Note No.</t>
  </si>
  <si>
    <t xml:space="preserve">         Share Capital</t>
  </si>
  <si>
    <t>Share Application Money</t>
  </si>
  <si>
    <t xml:space="preserve">Shareholder's Funds </t>
  </si>
  <si>
    <t xml:space="preserve">         Reserves and Surplus</t>
  </si>
  <si>
    <t xml:space="preserve">         Deferred Tax Liabilities (Net)</t>
  </si>
  <si>
    <t>Current Liabilities</t>
  </si>
  <si>
    <t xml:space="preserve">         Short Term Borrowings</t>
  </si>
  <si>
    <t xml:space="preserve">         Trade Payables</t>
  </si>
  <si>
    <t xml:space="preserve">         - Total outstanding dues of micro enterprises and small enterprises</t>
  </si>
  <si>
    <t xml:space="preserve">         Other Current Liabilities</t>
  </si>
  <si>
    <t xml:space="preserve">         Short-Term Provisions</t>
  </si>
  <si>
    <t>Non Current Assets</t>
  </si>
  <si>
    <t xml:space="preserve">        Property, Plant and Equipment and Intangible Assets </t>
  </si>
  <si>
    <t xml:space="preserve">         - Property, Plant and Equipment</t>
  </si>
  <si>
    <t xml:space="preserve">         - Intangible Assets</t>
  </si>
  <si>
    <t>Current Assets</t>
  </si>
  <si>
    <t xml:space="preserve">        Non-Current Investments</t>
  </si>
  <si>
    <t xml:space="preserve">        Trade Receivables</t>
  </si>
  <si>
    <t xml:space="preserve">        Inventories</t>
  </si>
  <si>
    <t xml:space="preserve">        Cash and Cash Equivalents</t>
  </si>
  <si>
    <t xml:space="preserve">        Other Current Assets</t>
  </si>
  <si>
    <t>Summary of significant accounting policies.</t>
  </si>
  <si>
    <t>Partner</t>
  </si>
  <si>
    <t>Chartered Accountants</t>
  </si>
  <si>
    <t>Director</t>
  </si>
  <si>
    <t xml:space="preserve">         Long-Term Borrowings</t>
  </si>
  <si>
    <t>Non-Current Liabilities</t>
  </si>
  <si>
    <t xml:space="preserve">          Finance Costs</t>
  </si>
  <si>
    <t xml:space="preserve">          Other Expenses</t>
  </si>
  <si>
    <t xml:space="preserve">          Cost of Materials Consumed</t>
  </si>
  <si>
    <t xml:space="preserve">          Purchase of Stock-in-Trade</t>
  </si>
  <si>
    <t xml:space="preserve">          Changes in Inventories of</t>
  </si>
  <si>
    <t xml:space="preserve">              - Finished Goods      </t>
  </si>
  <si>
    <t xml:space="preserve">              - Stock-in-Trade      </t>
  </si>
  <si>
    <t xml:space="preserve">          Employee Benefits Expense</t>
  </si>
  <si>
    <t xml:space="preserve">Total Income (I) </t>
  </si>
  <si>
    <t>Total Expenses (II)</t>
  </si>
  <si>
    <t xml:space="preserve">          Depreciation and Amortization Cost</t>
  </si>
  <si>
    <t>Note 3</t>
  </si>
  <si>
    <t>Number</t>
  </si>
  <si>
    <t>Amount Rs</t>
  </si>
  <si>
    <t>Authorised</t>
  </si>
  <si>
    <t>Issued, subscribed and fully paid up</t>
  </si>
  <si>
    <t>a.</t>
  </si>
  <si>
    <t>Reconciliation of the shares oustanding at the beginning and at the end of the reporting period.</t>
  </si>
  <si>
    <t>Equity Shares</t>
  </si>
  <si>
    <t>Shares bought back during the year</t>
  </si>
  <si>
    <t>b.</t>
  </si>
  <si>
    <t>Terms/rights attached to equity shares</t>
  </si>
  <si>
    <t>c.</t>
  </si>
  <si>
    <t>d.</t>
  </si>
  <si>
    <t>Details of shareholders holding more than 5% shares in the company.</t>
  </si>
  <si>
    <t xml:space="preserve">Name of Shareholder </t>
  </si>
  <si>
    <t>Surplus/(Deficit) in Statement of Profit &amp; Loss</t>
  </si>
  <si>
    <t>Opening balance</t>
  </si>
  <si>
    <t>(+) Net Profit/(Loss) For the current year</t>
  </si>
  <si>
    <t>(+/-) Adjustment to Reserves</t>
  </si>
  <si>
    <t>(+) Securities Premium Reserve</t>
  </si>
  <si>
    <t xml:space="preserve">Loan From Other than Related Party </t>
  </si>
  <si>
    <t>RESERVES AND SURPLUS</t>
  </si>
  <si>
    <t>EMPLOYEE BENEFITS EXPENSE</t>
  </si>
  <si>
    <t>Salary and Wages</t>
  </si>
  <si>
    <t>Contribution to Provident Fund and Other Funds</t>
  </si>
  <si>
    <t>Director Remuneration</t>
  </si>
  <si>
    <t>Staff Welfare and Expenses</t>
  </si>
  <si>
    <t>NON-CURRENT INVESTMENTS</t>
  </si>
  <si>
    <t>Foreign Exchange Difference</t>
  </si>
  <si>
    <t xml:space="preserve">     -Export</t>
  </si>
  <si>
    <t xml:space="preserve">     -Domestic</t>
  </si>
  <si>
    <t>Duties and Taxes</t>
  </si>
  <si>
    <t>Professional Fee Payable</t>
  </si>
  <si>
    <t>Security Deposit</t>
  </si>
  <si>
    <t>Directors Remuneration Payable</t>
  </si>
  <si>
    <t>Expenses Payable</t>
  </si>
  <si>
    <t>Employee benefits and other dues payable</t>
  </si>
  <si>
    <t>Interest Receivable</t>
  </si>
  <si>
    <t>OTHER  NON-CURRENT ASSETS</t>
  </si>
  <si>
    <t>Office Rent Security and Others</t>
  </si>
  <si>
    <t xml:space="preserve">         Other Long Term Liablities</t>
  </si>
  <si>
    <t>OTHER LONG TERM LIABILITIES</t>
  </si>
  <si>
    <t>Stock in Trade</t>
  </si>
  <si>
    <t>Balances with Banks</t>
  </si>
  <si>
    <t>Cash in hand</t>
  </si>
  <si>
    <t>Prepaid Expenses</t>
  </si>
  <si>
    <t>Advance to Supplier</t>
  </si>
  <si>
    <t>Staff Imprest Expense</t>
  </si>
  <si>
    <t>Stock at the beginning of the year</t>
  </si>
  <si>
    <t>Add:  Purchases</t>
  </si>
  <si>
    <t>Cost of Goods Available for Consumption</t>
  </si>
  <si>
    <t>Less: Stock at the end of the year</t>
  </si>
  <si>
    <t>Purchase of Goods Traded</t>
  </si>
  <si>
    <t>Inventories at the beginning of the year:</t>
  </si>
  <si>
    <t>Finished goods</t>
  </si>
  <si>
    <t>Total inventories at the beginning of the year</t>
  </si>
  <si>
    <t>Inventories at the end of the year:</t>
  </si>
  <si>
    <t>Total inventories at the end of the year</t>
  </si>
  <si>
    <t>Power and Fuel</t>
  </si>
  <si>
    <t>Freight and Forwarding charges</t>
  </si>
  <si>
    <t>Note 8</t>
  </si>
  <si>
    <t>TRADE RECEIVABLE</t>
  </si>
  <si>
    <t>Legal &amp; professional Expenses</t>
  </si>
  <si>
    <t>Liquidated Damages</t>
  </si>
  <si>
    <t xml:space="preserve">* Payments to the auditor as: </t>
  </si>
  <si>
    <t>As Auditor:</t>
  </si>
  <si>
    <t>Rates and Taxes</t>
  </si>
  <si>
    <t>Previous Year Figures</t>
  </si>
  <si>
    <t xml:space="preserve">Note 1   </t>
  </si>
  <si>
    <t>Corporate Information</t>
  </si>
  <si>
    <t xml:space="preserve">Note 2   </t>
  </si>
  <si>
    <t>Summary of Significant Accounting Policies</t>
  </si>
  <si>
    <t>Basis of Presentation:</t>
  </si>
  <si>
    <t>Use of Estimates:</t>
  </si>
  <si>
    <t>The preparation of financial statements in conformity with generally accepted accounting principles requires management to make estimates and assumptions that affect the reported amounts of assets and liabilities and disclosure of contingent liabilities on the date of the financial statements and the results of operations during the period. Differences between actual results and estimates are recognised in the period in which the results are known or materialised. Examples of such estimates are estimated useful life of asset, etc. Any revision to accounting estimates is recognised in accordance with the requirements of the respective accounting standard.</t>
  </si>
  <si>
    <t>Revenue Recognition:</t>
  </si>
  <si>
    <t>Revenue from sale of goods is recognised when the goods are dispatched to the customer which coincides with the transfer of risk and rewards in the goods. The sales are recorded at invoice value, net of taxes.</t>
  </si>
  <si>
    <t>Revenue from services is recognised propotionately by referance to the performance of each act. Revenue is only recognized when it can be reasonably measurable and at the time of rendering of the services it would not unreasonably to expect ultimate collection.</t>
  </si>
  <si>
    <t>Income Taxes</t>
  </si>
  <si>
    <t>Income-tax expense comprises current tax (i.e. the amount of tax for the period determined in accordance with the Income-tax Act, 1961) and deferred tax charge or credit (reflecting the tax effects of timing differences between the accounting income and taxable income for the period). The deferred tax charge or credit and the corresponding deferred tax liabilities or assets are recognised using the tax rates that have been enacted or substantively enacted as on the balance sheet date. Deferred tax assets are recognised only to the extent there is reasonable certainty of its realization. However, where there is unabsorbed depreciation or carried forward loss under taxation laws, deferred tax assets are recognised only if there is virtual certainty supported by convincing evidence that they can be realized against future taxable profits. At each reporting date the company reassesses unrecognized deferred tax assets. It recognizes unrecognized deferred tax assets to the extent that it has become reasonably certain or virtually certain, as the case may be, that sufficient future taxable income will be available against which such deferred tax assets can be realized. The carrying amount of deferred tax assets are reviewed at each reporting date. The company writes down/up the carrying amount of deferred tax assets to the extent that it is no longer reasonably certain or virtually certain, as the case may be, that sufficient future taxable income will be available against which such deferred tax assets can be realized. Any such write down is reserved to the extent that it becomes reasonably certain or virtually certain, as the case may be, that sufficient future taxable income will be available.</t>
  </si>
  <si>
    <t>Earning Per Share:</t>
  </si>
  <si>
    <t>Measurement of EBITDA :</t>
  </si>
  <si>
    <t>Cash and cash equivalents:</t>
  </si>
  <si>
    <t>Cash and cash equivalents comprise cash at bank and in hand and short-term investments with an original maturity of three months or less.</t>
  </si>
  <si>
    <t>2.9</t>
  </si>
  <si>
    <t>Property, Plant &amp; Equipment:</t>
  </si>
  <si>
    <t>Depreciation and amortisation of Property, Plant &amp; Equipment:</t>
  </si>
  <si>
    <t>Depreciation on additions is provided on a pro-rata basis from the month of acquisition/installation. Depreciation on sale/deduction from fixed assets is provided for up to the date of sale/adjustment, as the case may be. Modification or extension to an existing asset, which is of capital nature and which becomes an integral part thereof is depreciated prospectively over the remaining useful life of that asset.</t>
  </si>
  <si>
    <t>All assets costing Rs. 5,000 or below are fully depreciated in the year of purchase.</t>
  </si>
  <si>
    <t>Leasehold improvements are amortized over the remaining period of the lease or useful life of the assets, whichever is shorter.</t>
  </si>
  <si>
    <t>Foreign Currency Transaction:</t>
  </si>
  <si>
    <t>(a)    Initial recognition:</t>
  </si>
  <si>
    <t>Foreign currency transactions are recorded in the reporting currency, by applying to the foreign currency amount and the exchange rate between the reporting currency and the foreign currency at the date of transaction.</t>
  </si>
  <si>
    <t>(b)   Conversion:</t>
  </si>
  <si>
    <t>Foreign currency monetary items are retranslated using the exchange rate prevailing at the reporting date. Non-monetary items, which are measured in terms of historical cost denominated in foreign currency, are reported using the exchange rate at the date of transaction. Non-monetary items, which are carried at fair value or other similar valuation denominated in foreign currency, are translated using the exchange rate at the date when such value was determined.</t>
  </si>
  <si>
    <t>(c)  Exchange differences:</t>
  </si>
  <si>
    <t xml:space="preserve">Exchange differences arising on translation/settlement of foreign currency monetary items are recognized as an income or as an expense in the period in which they arise. </t>
  </si>
  <si>
    <t>Operating Leases:</t>
  </si>
  <si>
    <t>Borrowing Costs</t>
  </si>
  <si>
    <t>Borrowing Cost that are attributable to the acquisition or construction of qualifying assets are capitalized as part of the cost of the assets. A qualifying asset is one that necessarily takes substantial period of time to get ready for intended use . All Other borrowing costs are charged to the profit and loss account.</t>
  </si>
  <si>
    <t>Stock-in-trade are valued at lower of cost (net of recoverable taxes) and net realizable value.</t>
  </si>
  <si>
    <t>A provision is recognised when the Company has a present obligation as a result of a past event, it is probable that an outflow of resources embodying economic benefits will be required to settle the obligation and reliable estimate can be made of the amount of the obligation. A contingent liability is a possible obligation that arises from past events whose exixstence will be confirmed by the occurence or non-occurence of one or more uncertain future events beyond the control of company or a present obligation that is not recognised because it is not possible that an outflow of resources will be required to settle the obligation.</t>
  </si>
  <si>
    <t>Provision</t>
  </si>
  <si>
    <t>Contigent Liability</t>
  </si>
  <si>
    <t>Provisions and Contingent Liability</t>
  </si>
  <si>
    <t>Depreciation on property, plant &amp; equipment is provided on the basis of straight line method over the useful life of assets as specified under Schedule II of Company Act 2013.</t>
  </si>
  <si>
    <t>Note 4</t>
  </si>
  <si>
    <t>TRADE PAYABLE</t>
  </si>
  <si>
    <t>Disclosures Required Under Section 22 of The Micro, Small and Medium Enterprises Development Act, 2006</t>
  </si>
  <si>
    <t>The principle amount and the interest due thereon remaining unpaid to any supplier at the end of each accounting year;</t>
  </si>
  <si>
    <t>(i) Principal Amount</t>
  </si>
  <si>
    <t>(ii) Interest due on above</t>
  </si>
  <si>
    <t xml:space="preserve">The amount of interest paid by the buyer in terms of section 16 of Micro, Small and Medium Enterprises Devlopment Act,2006, along with the amount of the payment made to the suppliers beyond the appointed day during each accounting year. </t>
  </si>
  <si>
    <t>The amount of interest due and payable for the year on delay in making payment (which have been paid but beyond the appointed day during the year) but wihout adding the interest specified under the Micro, Small and Medium Enterprises Development Act,2006,</t>
  </si>
  <si>
    <t xml:space="preserve">The amount of interest accrued and remaining unpaid at the end of each accounting year; and </t>
  </si>
  <si>
    <t>The amount of further interest remaining due and payable even in the succeeding years,until such date when the interest due above are actually paid to the Small enterprise, for the purpose of disallowances of a deductible expenditure under section 23 of the Micro, Small and Medium Enterprises Devlopment Act,2006,</t>
  </si>
  <si>
    <t>Change in Inventory</t>
  </si>
  <si>
    <t>Note 5</t>
  </si>
  <si>
    <t>Note 6</t>
  </si>
  <si>
    <t>Note 7</t>
  </si>
  <si>
    <t>Note 9</t>
  </si>
  <si>
    <t>Note 10</t>
  </si>
  <si>
    <t>Note 11</t>
  </si>
  <si>
    <t>Note 14</t>
  </si>
  <si>
    <t>Note 16</t>
  </si>
  <si>
    <t>Note 17</t>
  </si>
  <si>
    <t>Note 18</t>
  </si>
  <si>
    <t>Note 19</t>
  </si>
  <si>
    <t>Note 20</t>
  </si>
  <si>
    <t>Note 21</t>
  </si>
  <si>
    <t>Note 22</t>
  </si>
  <si>
    <t>Note 23</t>
  </si>
  <si>
    <t>Note 24</t>
  </si>
  <si>
    <t>Note 25</t>
  </si>
  <si>
    <t>Note 26</t>
  </si>
  <si>
    <t>Note 27</t>
  </si>
  <si>
    <t>Profit/(Loss) Before Exceptional and Extraordinary Items and Tax</t>
  </si>
  <si>
    <t>Profit/(Loss) Tax</t>
  </si>
  <si>
    <t xml:space="preserve">Profit/Loss for the Period </t>
  </si>
  <si>
    <t>Basic (In Rupees)</t>
  </si>
  <si>
    <t>Diluted (In Rupees)</t>
  </si>
  <si>
    <t>Earning Per Share</t>
  </si>
  <si>
    <t>Number of Equity Shares as at beginning of the year</t>
  </si>
  <si>
    <t>Number of Equity Shares as at end of the year</t>
  </si>
  <si>
    <t>Weighted average number of Equity Shares during the year</t>
  </si>
  <si>
    <t>Face value per equity share</t>
  </si>
  <si>
    <t>Earnings per Share</t>
  </si>
  <si>
    <t xml:space="preserve"> Basic </t>
  </si>
  <si>
    <t xml:space="preserve"> Diluted</t>
  </si>
  <si>
    <t>Basic &amp; Diluted Earnings per Share (Rs)</t>
  </si>
  <si>
    <t>Profit/(Loss) after tax as per Profit &amp; Loss account (Rs)</t>
  </si>
  <si>
    <t>Related Party Disclosures</t>
  </si>
  <si>
    <t>1.  Name of the related parties</t>
  </si>
  <si>
    <t>Related parties with whom transactions have taken place during the year alongwith details of such transactions and outstanding balances as at the end of the year:</t>
  </si>
  <si>
    <t>Name of related party and nature of transactions</t>
  </si>
  <si>
    <t xml:space="preserve"> Relationship</t>
  </si>
  <si>
    <t>Loans repayable on demand from bank (cash credit)- Secured</t>
  </si>
  <si>
    <t>Stock In Trade</t>
  </si>
  <si>
    <t>Loan from other than Related party</t>
  </si>
  <si>
    <t xml:space="preserve">For and on behalf of the Boards of Directors of </t>
  </si>
  <si>
    <t>Interest on Deposits</t>
  </si>
  <si>
    <t>OTHER INCOME</t>
  </si>
  <si>
    <t>Rent Expenses</t>
  </si>
  <si>
    <t xml:space="preserve"> - Statutory Audit</t>
  </si>
  <si>
    <t xml:space="preserve"> - Tax Audit</t>
  </si>
  <si>
    <t xml:space="preserve"> - GST Audit</t>
  </si>
  <si>
    <t>Audit Remuneration*</t>
  </si>
  <si>
    <t>Previous years' figures have been regrouped/ rearranged wherever necessary to conform to the current year's classification(s).</t>
  </si>
  <si>
    <t>Repair &amp; Maintinance Expenses</t>
  </si>
  <si>
    <t>Tour &amp; Travelling Expenses</t>
  </si>
  <si>
    <t>Insurance Claim</t>
  </si>
  <si>
    <t>Bank Interest on Overdraft</t>
  </si>
  <si>
    <t>Processing Fees</t>
  </si>
  <si>
    <t>Interest on Term Loan</t>
  </si>
  <si>
    <t>Plant &amp; Machinery</t>
  </si>
  <si>
    <t xml:space="preserve">        - From Banks</t>
  </si>
  <si>
    <t>Note 28</t>
  </si>
  <si>
    <t>Note 29</t>
  </si>
  <si>
    <t>Note 30</t>
  </si>
  <si>
    <t>Note 31</t>
  </si>
  <si>
    <t>Note 32</t>
  </si>
  <si>
    <t>GROSS BLOCK</t>
  </si>
  <si>
    <t>DEPRECIATION BLOCK</t>
  </si>
  <si>
    <t>NET BLOCK</t>
  </si>
  <si>
    <t xml:space="preserve">COST AS </t>
  </si>
  <si>
    <t>ADDITION</t>
  </si>
  <si>
    <t>DELETION</t>
  </si>
  <si>
    <t xml:space="preserve">UPTO </t>
  </si>
  <si>
    <t xml:space="preserve">DURING </t>
  </si>
  <si>
    <t>ADJUSTMENT</t>
  </si>
  <si>
    <t>WDV AS</t>
  </si>
  <si>
    <t>THE YEAR</t>
  </si>
  <si>
    <t>Furniture &amp; Fittings</t>
  </si>
  <si>
    <t>Buildings</t>
  </si>
  <si>
    <t>Office Equipments</t>
  </si>
  <si>
    <t>Computers</t>
  </si>
  <si>
    <t>Vehicles</t>
  </si>
  <si>
    <t>Software</t>
  </si>
  <si>
    <t>Patent</t>
  </si>
  <si>
    <t>Profit on Sale of PPE</t>
  </si>
  <si>
    <t>Common Control</t>
  </si>
  <si>
    <t>Loan Received</t>
  </si>
  <si>
    <t>Loan Repaid</t>
  </si>
  <si>
    <t xml:space="preserve">        Other Non-current Assets</t>
  </si>
  <si>
    <t>FD &amp; DD Deposit for Tenders</t>
  </si>
  <si>
    <t xml:space="preserve">        Short-Term Loans and Advances</t>
  </si>
  <si>
    <t>Security Deposit with Client and Others</t>
  </si>
  <si>
    <t>Note 15</t>
  </si>
  <si>
    <t xml:space="preserve">Amount Given as Short Terms Loans and Advances </t>
  </si>
  <si>
    <t>Payment Recieved Long Term Loans and Advances</t>
  </si>
  <si>
    <t>Payment Recieved Short Term Loans and Advances</t>
  </si>
  <si>
    <t>CHANGES IN INVENTORIES OF STOCK IN TRADE AND FINISHED GOODS</t>
  </si>
  <si>
    <t>Other Income</t>
  </si>
  <si>
    <t>Revenue From Operation</t>
  </si>
  <si>
    <t>Expenses:</t>
  </si>
  <si>
    <t xml:space="preserve">         1. Current Tax</t>
  </si>
  <si>
    <t>Finished goods and work-in-progress are valued at lower of cost and net realizable value. The cost of finished goods and work-in-progress includes raw material costs (net of recoverable taxes), direct cost of conversion and proportionate allocation of indirect costs incurred in bringing the inventories to their present location and condition.</t>
  </si>
  <si>
    <t>The provision for inventory obsolescence is assessed regularly based on estimated usage and shelf life of inventory</t>
  </si>
  <si>
    <t>Share Outstanding at the beginning</t>
  </si>
  <si>
    <t>Shares issued during the year</t>
  </si>
  <si>
    <t>Shares Outstanding at the end of the year</t>
  </si>
  <si>
    <t>No. of Shares Held</t>
  </si>
  <si>
    <t>% Change in Holding</t>
  </si>
  <si>
    <t>Promoters:-</t>
  </si>
  <si>
    <t>Inventories of raw materials, components, stores and spares are valued at lower of cost (net of recoverable taxes) and net realizable value. Cost for the purpose of valuation of such inventories is determined using the first-in, first-out (FIFO) method. Net realizable value is the estimated selling price in the ordinary course of business less the estimated cost of completion and the estimated cost necessary to make the sale.</t>
  </si>
  <si>
    <t>(iii)</t>
  </si>
  <si>
    <t>(iv)</t>
  </si>
  <si>
    <t>(v)</t>
  </si>
  <si>
    <t>(vi)</t>
  </si>
  <si>
    <t>A. Tangible Assets</t>
  </si>
  <si>
    <t>B. Intangible Assets</t>
  </si>
  <si>
    <t>Total (C)</t>
  </si>
  <si>
    <t>Balances with banks on current accounts</t>
  </si>
  <si>
    <t>Cash and cash equivalents comprises (Refer to note)</t>
  </si>
  <si>
    <t xml:space="preserve">Cash and cash equivalents at end of period </t>
  </si>
  <si>
    <t>% of Total Amount</t>
  </si>
  <si>
    <t>Less than 1 Year</t>
  </si>
  <si>
    <t>1-2 Years</t>
  </si>
  <si>
    <t>2-3 Years</t>
  </si>
  <si>
    <t>More than 3 Years</t>
  </si>
  <si>
    <t xml:space="preserve">          MSME</t>
  </si>
  <si>
    <t xml:space="preserve">          Others</t>
  </si>
  <si>
    <t>Less than 6 Months</t>
  </si>
  <si>
    <t>More than 6 Months</t>
  </si>
  <si>
    <t>(i) Trade Receivable - Considered Good</t>
  </si>
  <si>
    <t>(i) Trade Receivable - Doubtful</t>
  </si>
  <si>
    <t>(iii) Disputed trades  -------</t>
  </si>
  <si>
    <t xml:space="preserve">          Trade Receivable - Considered Good</t>
  </si>
  <si>
    <t xml:space="preserve">          Trade Receivable - Doubtful</t>
  </si>
  <si>
    <t>Foreign Exchange Fluctuation Loss</t>
  </si>
  <si>
    <t>CURRENT TAX</t>
  </si>
  <si>
    <t>Income Tax Expense</t>
  </si>
  <si>
    <t>Recognised in Profit or Loss</t>
  </si>
  <si>
    <t xml:space="preserve">Total </t>
  </si>
  <si>
    <t>Note 33</t>
  </si>
  <si>
    <t>Directors</t>
  </si>
  <si>
    <t>Balance with Revenue Authorities</t>
  </si>
  <si>
    <t>The accompany notes are an integral part of the Financial Statements.</t>
  </si>
  <si>
    <t>The accompanying notes are an integral part of the financial statements.</t>
  </si>
  <si>
    <t>Refund of Sales Tax on GTA</t>
  </si>
  <si>
    <t>Sale of Products</t>
  </si>
  <si>
    <t>Interest Income</t>
  </si>
  <si>
    <t>Sale/(Purchase) of other Investment</t>
  </si>
  <si>
    <t>Sale/(Purchase) of Investment</t>
  </si>
  <si>
    <t>Current</t>
  </si>
  <si>
    <t>Non Cash Adjusment to Reserves</t>
  </si>
  <si>
    <t>Solvency</t>
  </si>
  <si>
    <t>Ratio</t>
  </si>
  <si>
    <t>Numerator</t>
  </si>
  <si>
    <t>Denominator</t>
  </si>
  <si>
    <t>Variance</t>
  </si>
  <si>
    <t>Refer</t>
  </si>
  <si>
    <t>Current Ratio</t>
  </si>
  <si>
    <t>Debt-Equity Ratio</t>
  </si>
  <si>
    <t>Total Debt</t>
  </si>
  <si>
    <t>Shareholder's Equity</t>
  </si>
  <si>
    <t>Debt Service Converge Ratio</t>
  </si>
  <si>
    <t>Earning Available for Debt Services</t>
  </si>
  <si>
    <t>Debt Services</t>
  </si>
  <si>
    <t>Net Profit after Tax</t>
  </si>
  <si>
    <t>Average Shareholders’ Equity</t>
  </si>
  <si>
    <t>Inventory Turnover Ratio</t>
  </si>
  <si>
    <t>Average Inventory</t>
  </si>
  <si>
    <t>Trade Receivables Turnover Ratio</t>
  </si>
  <si>
    <t>Net Credit Sales</t>
  </si>
  <si>
    <t>Average Accounts Receivable</t>
  </si>
  <si>
    <t>Trade Payables Turnover Ratio</t>
  </si>
  <si>
    <t>Net Credit Purchases</t>
  </si>
  <si>
    <t>Average Trade Payables</t>
  </si>
  <si>
    <t>Working Capital Turnover Ratio</t>
  </si>
  <si>
    <t>Revenue from operations</t>
  </si>
  <si>
    <t>Working Capital</t>
  </si>
  <si>
    <t>Net Profit Ratio</t>
  </si>
  <si>
    <t>Net Sales</t>
  </si>
  <si>
    <t>Return on Capital Employed</t>
  </si>
  <si>
    <t>Earnings before Interest and Taxes</t>
  </si>
  <si>
    <t>Capital Employed</t>
  </si>
  <si>
    <t>Return on Investment</t>
  </si>
  <si>
    <t>Income generated from Investments</t>
  </si>
  <si>
    <t>Time weighted average Investments</t>
  </si>
  <si>
    <t>Note 34</t>
  </si>
  <si>
    <t xml:space="preserve"> - Sovereign Gold Bond</t>
  </si>
  <si>
    <t>Investment in Body Corporate</t>
  </si>
  <si>
    <t>Investments in Government securities</t>
  </si>
  <si>
    <t>(19,999 Equity Shares holding 99.995% of total holding)</t>
  </si>
  <si>
    <t>Disclosure required under Section 186(4) of the Companies Act, 2013</t>
  </si>
  <si>
    <t>Amount of Investment:</t>
  </si>
  <si>
    <t>Name of the Subsidiaries</t>
  </si>
  <si>
    <t>Investment made</t>
  </si>
  <si>
    <t>Outstanding 
amount</t>
  </si>
  <si>
    <t>Note 36</t>
  </si>
  <si>
    <t>A.</t>
  </si>
  <si>
    <t>Term Loan</t>
  </si>
  <si>
    <t>Sr. No.</t>
  </si>
  <si>
    <t>Bank Name</t>
  </si>
  <si>
    <t>Type of loan</t>
  </si>
  <si>
    <t>Term of Repayments</t>
  </si>
  <si>
    <t>Security</t>
  </si>
  <si>
    <t>Non-Current</t>
  </si>
  <si>
    <t>Secured- From Banks</t>
  </si>
  <si>
    <t>B.</t>
  </si>
  <si>
    <t>Repayable on demand</t>
  </si>
  <si>
    <t>Unsecured Loans</t>
  </si>
  <si>
    <t>NA</t>
  </si>
  <si>
    <t>As at March 31, 2023</t>
  </si>
  <si>
    <t>Balances Written off</t>
  </si>
  <si>
    <t>Total (A+B+C)</t>
  </si>
  <si>
    <t>(40,766 Equity Shares holding 74.44% of total holding)</t>
  </si>
  <si>
    <t>Unsecured- From NBFC</t>
  </si>
  <si>
    <t>Unsecured- From NBFCs</t>
  </si>
  <si>
    <t xml:space="preserve">        - From NBFCs</t>
  </si>
  <si>
    <t>Loans repayable on demand from NBFC</t>
  </si>
  <si>
    <t>Name of the Bank</t>
  </si>
  <si>
    <t>Amount as per books</t>
  </si>
  <si>
    <t>Amount as per reported in quarterly returns</t>
  </si>
  <si>
    <t>Amount of Difference</t>
  </si>
  <si>
    <t>Inventory</t>
  </si>
  <si>
    <t>Debtors</t>
  </si>
  <si>
    <t xml:space="preserve">Net Total </t>
  </si>
  <si>
    <t>(iii) Punit Kumar Sarda (Director's Relative)</t>
  </si>
  <si>
    <t>Investment in Equity Shares</t>
  </si>
  <si>
    <t>Subsidiary</t>
  </si>
  <si>
    <t>Return of Equity</t>
  </si>
  <si>
    <t>i</t>
  </si>
  <si>
    <t>ii</t>
  </si>
  <si>
    <t>iii</t>
  </si>
  <si>
    <t>Note 35</t>
  </si>
  <si>
    <t>Contingent liabilities</t>
  </si>
  <si>
    <t>Claims against the Company, not acknowledged as debts</t>
  </si>
  <si>
    <t xml:space="preserve"> - Claim by third party</t>
  </si>
  <si>
    <t>As at March 31, 2024</t>
  </si>
  <si>
    <t xml:space="preserve">The financial statements are prepared under the historical cost convention, on the accrual basis of accounting in accordance with the Generally Accepted Accounting Principles (‘GAAP’) in India and comply with the accounting standards prescribed under section 133 of the Companies Act, 2013("the Act") read with Rule 7 of the Companies(Accounts) Rules, 2024 the provisions of the Act (to the extent notified) . </t>
  </si>
  <si>
    <t>31.03.2024</t>
  </si>
  <si>
    <t>ON 31.03.2024</t>
  </si>
  <si>
    <t>For the period ended at March 31, 2024</t>
  </si>
  <si>
    <t>As at 31st March, 2024</t>
  </si>
  <si>
    <t>For the Year ended
31-Mar-2024</t>
  </si>
  <si>
    <t>As at 31st March 2024</t>
  </si>
  <si>
    <t xml:space="preserve">Date  : </t>
  </si>
  <si>
    <t xml:space="preserve">Sale of Services                                                                       </t>
  </si>
  <si>
    <t>Interest on Vehicle Loan &amp; Machinery</t>
  </si>
  <si>
    <t xml:space="preserve">         Long-Term Provisions</t>
  </si>
  <si>
    <t>LONG TERM PROVISIONS</t>
  </si>
  <si>
    <t>Provisions for Gratuity</t>
  </si>
  <si>
    <t xml:space="preserve">       - Total outstanding dues of creditors other than micro enterprises and small enterprises</t>
  </si>
  <si>
    <t>*Loan &amp; Advances to Related Party</t>
  </si>
  <si>
    <t>Differece in carrying value &amp; tax base of Plant, Property &amp; Equipment</t>
  </si>
  <si>
    <t>Gratuity</t>
  </si>
  <si>
    <t>DEFERRED TAX LIABILITIES/(ASSETS)</t>
  </si>
  <si>
    <t xml:space="preserve"> - TDS &amp; TCS Payable</t>
  </si>
  <si>
    <t xml:space="preserve"> - GST Payable</t>
  </si>
  <si>
    <t>Loan and Advance Given</t>
  </si>
  <si>
    <t>Nature of Transaction</t>
  </si>
  <si>
    <t>Loan Outstanding</t>
  </si>
  <si>
    <t>Loan and Advance Outstanding</t>
  </si>
  <si>
    <t>Purchase of Goods</t>
  </si>
  <si>
    <t>Sales of Goods</t>
  </si>
  <si>
    <t>Amount Received</t>
  </si>
  <si>
    <t>Amount Paid</t>
  </si>
  <si>
    <t>Employee benefits</t>
  </si>
  <si>
    <t>Short-term obligations</t>
  </si>
  <si>
    <t>Liabilities for wages and salaries, including non-monetary benefits that are expected to be settled wholly within twelve months after the end of the period in which the employees render the related service are recognised in respect of employees’ services up to the end of the reporting period and are measured at the undiscounted amounts expected to be paid when the liabilities are settled. The liabilities are presented as current benefit obligations in the balance sheet.</t>
  </si>
  <si>
    <t>Other long-term employee benefit obligations</t>
  </si>
  <si>
    <t>Other long-term employee benefits includes earned leaves, sick leaves and employee bonus.</t>
  </si>
  <si>
    <t>Earned leaves</t>
  </si>
  <si>
    <t>Post-employment obligations</t>
  </si>
  <si>
    <t>The Company operates the following post employment schemes:</t>
  </si>
  <si>
    <t>*</t>
  </si>
  <si>
    <t>defined benefit plan towards payment of gratuity; and</t>
  </si>
  <si>
    <t>defined contribution plans towards provident fund &amp; employee pension scheme and employee state insurance.</t>
  </si>
  <si>
    <t>Defined benefit plans</t>
  </si>
  <si>
    <t>The Company provides for gratuity obligations through a defined benefit retirement plan (the ‘Gratuity Plan’) covering all employees. The Gratuity Plan provides a lump sum payment to vested employees at retirement/termination of employment or death of an employee, based on the respective employees’ salary and years of employment with the Company.</t>
  </si>
  <si>
    <t>The liability or asset recognised in the balance sheet in respect of the defined benefit plan is the present value of the defined benefit obligation at the end of the reporting period less the fair value of plan assets. The present value of the defined benefit obligation is determined using projected unit credit method by discounting the estimated future cash outflows by reference to market yields at the end of the reporting period on government bonds that have terms approximating to the terms of the related obligation, with actuarial valuations being carried out at the end of each annual reporting period.</t>
  </si>
  <si>
    <t>The net interest cost is calculated by applying the discount rate to the net balance of the defined benefit obligation and the fair value of plan assets. This cost is included in employee benefit expense in the statement of profit and loss. Remeasurement gains and losses arising from experience adjustments and changes in actuarial assumptions are recognised in the period in which they occur, directly in other comprehensive income. They are included in retained earnings in the statement of changes in equity and in the balance sheet.</t>
  </si>
  <si>
    <t>Defined contribution plans</t>
  </si>
  <si>
    <t>Defined contribution plans are retirement benefit plans under which the Company pays fixed contributions to separate entities (funds) or financial institutions or state managed benefit schemes. The Company has no further payment obligations once the contributions have been paid. The defined contributions plans are recognised as employee benefit expense when they are due. Prepaid contributions are recognised as an asset to the extent that a cash refund or a reduction in the future payments is available.</t>
  </si>
  <si>
    <t>Provident Fund Plan</t>
  </si>
  <si>
    <t>The Company makes monthly contributions at prescribed rates towards Employees’ Provident Fund to a Fund administered and managed by the Government of India.</t>
  </si>
  <si>
    <t>Leave Encashment</t>
  </si>
  <si>
    <t>Investment</t>
  </si>
  <si>
    <t>Short Term Investment is valued at Cost or Net Realisable Value, whichever is lower. Long Term Investment is valued at cost on individual basis.</t>
  </si>
  <si>
    <t>Segment Information</t>
  </si>
  <si>
    <t>Corporate Social Responsibility</t>
  </si>
  <si>
    <t>Details of CSR expenses</t>
  </si>
  <si>
    <t>a) Gross amount required to be spent during the year</t>
  </si>
  <si>
    <t>b) Amount spent during the year</t>
  </si>
  <si>
    <t>In Cash</t>
  </si>
  <si>
    <t>i) Construction/acquisition of any asset -</t>
  </si>
  <si>
    <t>ii) On purposes other than (i) above</t>
  </si>
  <si>
    <t>Yet to be paid in cash</t>
  </si>
  <si>
    <t xml:space="preserve">i) Construction/acquisition of any asset - </t>
  </si>
  <si>
    <t>Contingent liabilities, contingent assets and commitments</t>
  </si>
  <si>
    <t>Contingent assets</t>
  </si>
  <si>
    <t>Commitments</t>
  </si>
  <si>
    <t>The current assets, loans and advances are approximate of the value stated if realized in the ordinary course of business. The provision for all known liabilities are adequate and not in excess of the amount reasonably necessary.</t>
  </si>
  <si>
    <t xml:space="preserve">Earning in Foreign currency </t>
  </si>
  <si>
    <t>Revenue From Operation (Export Sale)</t>
  </si>
  <si>
    <t>The provisions of clause (87) of section 2 of the Act read with the Companies (Restriction on number of layers) Rules, 2017 are not applicable on the company.</t>
  </si>
  <si>
    <t>Events After Balance Sheet Date</t>
  </si>
  <si>
    <t>No adjusting or significant non-adjusting events have occurred between the reporting date and date of authorization of these standalone Financial statements</t>
  </si>
  <si>
    <t>Additional Regulatory information:</t>
  </si>
  <si>
    <t>The Company has no transactions with companies struck off under section 248 of the Companies Act, 2013.</t>
  </si>
  <si>
    <t>The Company has not traded or invested in Crypto Currency or Virtual Currency during the financial year.</t>
  </si>
  <si>
    <t>The Company do not have any Benami property where any proceeding has been initiated or pending against the Company for holding any Benami property.</t>
  </si>
  <si>
    <t>The Company have not advanced or loaned or invested funds to any other person(s) or entity(ies), including foreign entities (Intermediaries) with the understanding that the Intermediary shall:</t>
  </si>
  <si>
    <t xml:space="preserve"> (a)    directly or indirectly lend or invest in other persons or entities identified in any manner whatsoever by or on behalf of the company (Ultimate Beneficiaries) or</t>
  </si>
  <si>
    <t xml:space="preserve"> (b)    provide any guarantee, security or the like to or on behalf of the Ultimate Beneficiaries</t>
  </si>
  <si>
    <t>The Company have not received any fund from any person(s) or entity(ies), including foreign entities (Funding Party) with the understanding (whether recorded in writing or otherwise) that the Company shall:</t>
  </si>
  <si>
    <t xml:space="preserve">(a)    directly or indirectly lend or invest in other persons or entities identified in any manner whatsoever by or on behalf of the Funding Party (Ultimate Beneficiaries) or </t>
  </si>
  <si>
    <t>(b)   provide any guarantee, security or the like on behalf of the Ultimate Beneficiaries,</t>
  </si>
  <si>
    <t>(vii)</t>
  </si>
  <si>
    <t>Type of Borrower</t>
  </si>
  <si>
    <t>Amount of loan or advance in the nature of loan outstanding</t>
  </si>
  <si>
    <t>Percentage to the total Loans and Advances in the nature of loans</t>
  </si>
  <si>
    <t>Promoter</t>
  </si>
  <si>
    <t>KMPs</t>
  </si>
  <si>
    <t>Related Parties</t>
  </si>
  <si>
    <t>(viii)</t>
  </si>
  <si>
    <t>There are no immovable properties (other than properties where the Company is the lessee and the lease agreements are duly executed in favour of the lessee, if any) whose title deeds are not held in the name of the Company.</t>
  </si>
  <si>
    <t>(ix)</t>
  </si>
  <si>
    <t>The Company has not been declared as wilful defaulter by any bank or financial institution or government or any government authority.</t>
  </si>
  <si>
    <t>(x)</t>
  </si>
  <si>
    <t>(xi)</t>
  </si>
  <si>
    <t>The Company does not have any transactions during the financial year, where the company has not used the borrowings from banks and financial institutions for the specific purpose for which it was taken.</t>
  </si>
  <si>
    <t>(xii)</t>
  </si>
  <si>
    <t>The Company have not entered into any scheme(s) of arrangements during the year.</t>
  </si>
  <si>
    <t>The Company has not entered in any transaction not recorded in the books of accounts that has been surrendered or disclosed as income during the year in the tax assessments under the Income Tax Act, 1961 (such as search or survey or any other relevant provisions of the Income Tax Act, 1961).</t>
  </si>
  <si>
    <t>Note 37</t>
  </si>
  <si>
    <t>Note 38</t>
  </si>
  <si>
    <t>Import related points</t>
  </si>
  <si>
    <t>Note 39</t>
  </si>
  <si>
    <t>EMPLOYEE BENEFIT PLANS:</t>
  </si>
  <si>
    <t>A)</t>
  </si>
  <si>
    <t>Defined Contribution Plans:</t>
  </si>
  <si>
    <t>The Company has charged the following costs in contribution to Provident and Other Funds in the Statement of Profit and Loss:</t>
  </si>
  <si>
    <t>For the year ended</t>
  </si>
  <si>
    <t>31st March, 2024</t>
  </si>
  <si>
    <t>31st March, 2023</t>
  </si>
  <si>
    <t>Administrative charges on above fund</t>
  </si>
  <si>
    <t>B)</t>
  </si>
  <si>
    <t>Defined Benefit Plans:</t>
  </si>
  <si>
    <t>The Company provides for gratuity obligations through a defined benefit retirement plan (the ‘Gratuity Plan’) covering all company employees. The Gratuity Plan provides a lump sum payment to vested employees at retirement termination of employment or death of an employee, based on the respective employees’ salary and years of employment with the Company.</t>
  </si>
  <si>
    <t>Risk exposure</t>
  </si>
  <si>
    <t>a)</t>
  </si>
  <si>
    <t>Risk to the beneficiary</t>
  </si>
  <si>
    <t>The greatest risk to the beneficiary is that there are insufficient funds available to provide the promised benefits. This may be due to:
• The insufficient funds set aside, i.e. underfunding
• The insolvency of the Employer
• The holding of investments which are not matched to the liabilities
• A combination of these events</t>
  </si>
  <si>
    <t>b)</t>
  </si>
  <si>
    <t xml:space="preserve">Risk Parameter </t>
  </si>
  <si>
    <t>c)</t>
  </si>
  <si>
    <t>Risk of illiquid Assets</t>
  </si>
  <si>
    <t>Another risk is that the funds, although sufficient, are not available when they are required to finance the benefits.This may be due to assets being locked for longer period or in illiquid assets.</t>
  </si>
  <si>
    <t>d)</t>
  </si>
  <si>
    <t>Risk of Benefit Change</t>
  </si>
  <si>
    <t>There may be a risk that the benefit promised is changed or is changeable within the terms of the contract.</t>
  </si>
  <si>
    <t>e)</t>
  </si>
  <si>
    <t>Asset liability mismatching risk</t>
  </si>
  <si>
    <t>ALM risk arises due to a mismatch between assets and liabilities either due to liquidity or changes in interest rates or due to different duration.</t>
  </si>
  <si>
    <t>Changes in defined benefit obligation</t>
  </si>
  <si>
    <t>Changes in present value of obligation</t>
  </si>
  <si>
    <t>Present value of obligation as at beginning of the year</t>
  </si>
  <si>
    <t>Interest cost</t>
  </si>
  <si>
    <t>Current service cost</t>
  </si>
  <si>
    <t>Benefits paid</t>
  </si>
  <si>
    <t>Remeasurement-Actuarial loss/(gain)</t>
  </si>
  <si>
    <t>Remeasurement gains / (losses) recognised in other comprehensive income:</t>
  </si>
  <si>
    <t xml:space="preserve">Actuarial (gain)/ loss arising form </t>
  </si>
  <si>
    <t>-Changes in financial assumptions</t>
  </si>
  <si>
    <t>-Changes in demographic assumptions</t>
  </si>
  <si>
    <t>-Changes in experience adjustments</t>
  </si>
  <si>
    <t>Fair Value of Plan Assets</t>
  </si>
  <si>
    <t>Fair value of plan assets at the beginning of the year</t>
  </si>
  <si>
    <t>Expenses recognised in profit and loss account</t>
  </si>
  <si>
    <t xml:space="preserve">    Expected return on plan assets</t>
  </si>
  <si>
    <t xml:space="preserve">    Acturial gain/(loss)</t>
  </si>
  <si>
    <t>Contributions by employer directly settled</t>
  </si>
  <si>
    <t>Contributions by employer</t>
  </si>
  <si>
    <t>Benefit payments</t>
  </si>
  <si>
    <t>Fair value of plan assets at the end of the year</t>
  </si>
  <si>
    <t>Amount recognised in Balance Sheet</t>
  </si>
  <si>
    <t>As at
31st March, 2024</t>
  </si>
  <si>
    <t>As at
31st March, 2023</t>
  </si>
  <si>
    <t>Defined benefit obligation at the end of the year</t>
  </si>
  <si>
    <t>Recognised in the balance sheet</t>
  </si>
  <si>
    <t>Current portion of above</t>
  </si>
  <si>
    <t>Non Current portion of above</t>
  </si>
  <si>
    <t>Expense recognised in the Statement of profit &amp; loss</t>
  </si>
  <si>
    <t>Interest Income on plan Assets</t>
  </si>
  <si>
    <t>Components of defined benefit costs recognised in profit or loss</t>
  </si>
  <si>
    <t>Remeasurement on the net defined benefit liability:</t>
  </si>
  <si>
    <t>Return on plan assets (excluding amount included in net interest expense)</t>
  </si>
  <si>
    <t>Actuarial (gain)/ loss arising form changes in financial assumptions</t>
  </si>
  <si>
    <t>Actuarial (gain) / loss arising form changes in demographic assumptions</t>
  </si>
  <si>
    <t>Actuarial (gain) / loss arising form experience adjustments</t>
  </si>
  <si>
    <t>Components of defined benefit costs recognised in other comprehensive income</t>
  </si>
  <si>
    <t>The significant actuarial assumptions used for the purposes of the actuarial valuation were as follows:</t>
  </si>
  <si>
    <t>Discounting rate</t>
  </si>
  <si>
    <t>7.13% P.A</t>
  </si>
  <si>
    <t>Future salary growth rate</t>
  </si>
  <si>
    <t>10% P.A</t>
  </si>
  <si>
    <t>Average Future Service(in years)</t>
  </si>
  <si>
    <t>32.48 Years</t>
  </si>
  <si>
    <t>Method used</t>
  </si>
  <si>
    <t>PUC Method</t>
  </si>
  <si>
    <t>Withdrawl Rate</t>
  </si>
  <si>
    <t>Mortality Rate</t>
  </si>
  <si>
    <t>100% of IALM 2012-14</t>
  </si>
  <si>
    <t xml:space="preserve"> A contingent liability also arises in extreamly rare cases where there is liability that can not be recognised beause it can not be measured reliabily. The company does not recognise a contigent liability but discloses its existence in the financial statements. The Company does not recognise assets which are of contingent nature until there is virtual certainty of the realisation of such assets. However, if it has become virtually certain that an inflow of economic benefits will arise then asset and related income are recognised in the financial statements of the period in which the change occurs.</t>
  </si>
  <si>
    <t>Asset Category</t>
  </si>
  <si>
    <t>Life in Year</t>
  </si>
  <si>
    <t>Basis for useful life</t>
  </si>
  <si>
    <t>Life as prescribed under Schedule-II of Companies Act, 2013</t>
  </si>
  <si>
    <t>Furniture &amp; Fixtures</t>
  </si>
  <si>
    <t>Computer</t>
  </si>
  <si>
    <t>Intangible Assets</t>
  </si>
  <si>
    <t>Intangible assets acquired separately are measured on initial recognition at cost. Following initial recognition, intangible assets are carried at cost less any accumulated amortisation and accumulated impairment losses. Internally generated intangibles, excluding capitalised development costs, are not capitalised and the related expenditure is reflected in profit or loss in the period in which the expenditure is incurred.</t>
  </si>
  <si>
    <t>Amortisation is recognised on a straight-line basis over their estimated useful lives. The estimated useful life and amortisation method are reviewed at the end of each reporting period, with the effect of any changes in estimate being accounted for on a prospective basis.</t>
  </si>
  <si>
    <t>An intangible asset is derecognised on disposal, or when no future economic benefits are expected from use or disposal. Gains or losses arising from derecognition of an intangible asset, measured as the difference between the net disposal proceeds and the carrying amount of the asset, are recognised in statement of profit or loss when the asset is derecognised.</t>
  </si>
  <si>
    <t xml:space="preserve">Particulars </t>
  </si>
  <si>
    <t>Year</t>
  </si>
  <si>
    <t>2023-24</t>
  </si>
  <si>
    <t>2022-23</t>
  </si>
  <si>
    <t>Equity Shares :</t>
  </si>
  <si>
    <t>Fully paid up pursuant to contract(s) without payment being received in cash</t>
  </si>
  <si>
    <t>Nil</t>
  </si>
  <si>
    <t>Fully paid up by way of bonus shares</t>
  </si>
  <si>
    <t>Shares bought back</t>
  </si>
  <si>
    <t>2021-22</t>
  </si>
  <si>
    <t>2020-21</t>
  </si>
  <si>
    <t>Aggregate number of bonus shares issued, share issued for consideration other than cash and shares bought back during the period of five years immediately preceding the reporting date.</t>
  </si>
  <si>
    <t xml:space="preserve">        -  From Banks</t>
  </si>
  <si>
    <t>Advance From Customers</t>
  </si>
  <si>
    <t>Provision for Income Tax</t>
  </si>
  <si>
    <t>Provision for Audit Fees</t>
  </si>
  <si>
    <t>Outstanding for following periods from due date of payment</t>
  </si>
  <si>
    <t>Loan and Advance to Related Party (Unsecured)</t>
  </si>
  <si>
    <t>Interest on Inter-corporate Loan</t>
  </si>
  <si>
    <t>Name of the Controlled Entity</t>
  </si>
  <si>
    <t>Loan Given</t>
  </si>
  <si>
    <t>Amount of loan/advance in the nature of loan:</t>
  </si>
  <si>
    <t>Common Control Entity</t>
  </si>
  <si>
    <t>Current Ratios</t>
  </si>
  <si>
    <t>Sum of all CA</t>
  </si>
  <si>
    <t>Sum of all CL</t>
  </si>
  <si>
    <t>Debt Equity Ratio</t>
  </si>
  <si>
    <t>Long Term Debt</t>
  </si>
  <si>
    <t>Return of Equity Ratio</t>
  </si>
  <si>
    <t>Net Profit After Tax</t>
  </si>
  <si>
    <t>Avg Shareholder Equity</t>
  </si>
  <si>
    <t>CA</t>
  </si>
  <si>
    <t>Avg Working Cpital</t>
  </si>
  <si>
    <t>CL</t>
  </si>
  <si>
    <t>WC</t>
  </si>
  <si>
    <t>TA</t>
  </si>
  <si>
    <t>CE</t>
  </si>
  <si>
    <t>Inventory T/O Ratio</t>
  </si>
  <si>
    <t>Cost Of goods sold</t>
  </si>
  <si>
    <t>COGS</t>
  </si>
  <si>
    <t>Closing</t>
  </si>
  <si>
    <t>FY</t>
  </si>
  <si>
    <t>PY</t>
  </si>
  <si>
    <t>Cost of Goods Sold</t>
  </si>
  <si>
    <t>Amount payable/(receivable)</t>
  </si>
  <si>
    <t>Note 42</t>
  </si>
  <si>
    <t xml:space="preserve">The Company has recognised liability for short term compensated absences on full cost basis with reference to unavailed earned leaves at the year end.
</t>
  </si>
  <si>
    <t>The liabilities for earned leaves are expected to be settled wholly within twelve months in which the employees render the related service. They are therefore are not measured at the present value of expected future payments to be made in respect of services provided by employees up to the end of the reporting period using the projected unit credit method.</t>
  </si>
  <si>
    <t>Less: Interest paid</t>
  </si>
  <si>
    <t>Less: Income taxes paid</t>
  </si>
  <si>
    <t>Proceeds/(Payment) of Long-term Provision</t>
  </si>
  <si>
    <t>Proceeds/(Payment) from long-term borrowings</t>
  </si>
  <si>
    <r>
      <rPr>
        <b/>
        <sz val="14"/>
        <color theme="1"/>
        <rFont val="Trebuchet MS"/>
        <family val="2"/>
      </rPr>
      <t>Provident Fund Plan :</t>
    </r>
    <r>
      <rPr>
        <sz val="14"/>
        <color theme="1"/>
        <rFont val="Trebuchet MS"/>
        <family val="2"/>
      </rPr>
      <t xml:space="preserve"> The Company makes monthly contributions at prescribed rates towards Employee Provident Fund administered and managed by Ministry of Labour &amp; Employment,Government of India.</t>
    </r>
  </si>
  <si>
    <r>
      <rPr>
        <b/>
        <sz val="14"/>
        <color theme="1"/>
        <rFont val="Trebuchet MS"/>
        <family val="2"/>
      </rPr>
      <t>Employee State Insurance:</t>
    </r>
    <r>
      <rPr>
        <sz val="14"/>
        <color theme="1"/>
        <rFont val="Trebuchet MS"/>
        <family val="2"/>
      </rPr>
      <t xml:space="preserve"> The Company makes prescribed monthly contributions towards Employees State Insurance Scheme and payment made to Employee State Insurance Corporation, Ministry of Labour &amp; Employment,Government of India.</t>
    </r>
  </si>
  <si>
    <t>The Company makes contribution in the form of provident funds as considered defined contribution plans and contribution to Employees Providend Fund Orgnisation. The Company has no further payment obligations once the contributions have been paid. Following are the schemes covered under defined contributions plans of the Company:</t>
  </si>
  <si>
    <t>Company’s contribution to Provident Fund &amp; ESI</t>
  </si>
  <si>
    <t>Actuarial valuation is done basis some assumptions like salary inflation, discount rate, withdrawal assumptions and mortality rate. In case the actual experience varies from the assumptions, fund may be insufficient to pay off the liabilities.
Similarly, reduction in discount rate in subsequent future years can increase the plan's liability. Further, actual withdrawals may be lower or higher then what was assumptions the valuation,may also impact the plan's liability.</t>
  </si>
  <si>
    <t>7.00% P.A</t>
  </si>
  <si>
    <t>25 to 35</t>
  </si>
  <si>
    <t>35 to 45</t>
  </si>
  <si>
    <t>45 to 55</t>
  </si>
  <si>
    <t>55 &amp; above</t>
  </si>
  <si>
    <t>Age 25 &amp; below</t>
  </si>
  <si>
    <t>Previous Year</t>
  </si>
  <si>
    <t>P.Y</t>
  </si>
  <si>
    <t>Capital work-in-progress aging schedule</t>
  </si>
  <si>
    <t xml:space="preserve">CWIP </t>
  </si>
  <si>
    <t>Amount in CWIP for the period of</t>
  </si>
  <si>
    <t>Less than 1 year</t>
  </si>
  <si>
    <t>1-2 years</t>
  </si>
  <si>
    <t>2-3 years</t>
  </si>
  <si>
    <t>More than 3 years</t>
  </si>
  <si>
    <t>Projects in Progress</t>
  </si>
  <si>
    <t>Projects Temporarily suspended</t>
  </si>
  <si>
    <t>Capital Work In Progress-Computer Software</t>
  </si>
  <si>
    <t xml:space="preserve">        Capital work-in-Progress</t>
  </si>
  <si>
    <t>Note 13: Capital Work In Progress</t>
  </si>
  <si>
    <t>Note 40</t>
  </si>
  <si>
    <t>Note 41</t>
  </si>
  <si>
    <t>Note 43</t>
  </si>
  <si>
    <t>Note 44</t>
  </si>
  <si>
    <t>Note 45</t>
  </si>
  <si>
    <t>Contingent Assets as on the reporting date</t>
  </si>
  <si>
    <t>Estimated amount of contracts remaining to be executed on capital account (net of advance) and not provided for</t>
  </si>
  <si>
    <t>Total : (A+B+C)</t>
  </si>
  <si>
    <t>Notes:-</t>
  </si>
  <si>
    <t>Revaluation of its Property, Plant and Equipment :</t>
  </si>
  <si>
    <t>Cash Outflow in Capital work in progress</t>
  </si>
  <si>
    <t>Leases, where the lessor effectively retains substantially all the risks and benefits of ownership of the leased items, are classified as operating leases.  Operating lease payments are recognized as an expense in the statement of Profit and Loss on systematic basis over the lease term.</t>
  </si>
  <si>
    <t>Value of Import on CIF Basis</t>
  </si>
  <si>
    <t xml:space="preserve"> - Raw materials</t>
  </si>
  <si>
    <t xml:space="preserve"> - Capital goods</t>
  </si>
  <si>
    <t>\</t>
  </si>
  <si>
    <t>Note 46: RECONCILIATION OF QUARTERLY BANK RETURNS</t>
  </si>
  <si>
    <r>
      <t>Note 47:</t>
    </r>
    <r>
      <rPr>
        <sz val="12"/>
        <rFont val="Trebuchet MS"/>
        <family val="2"/>
      </rPr>
      <t xml:space="preserve"> The Company is a Small and Medium Sized Company (SMC) as defined in the General Instructions in respect of Accounting Standards. Accordingly, the Company has complied with the Accounting Standards as applicable to a Small and Medium Sized Company.</t>
    </r>
  </si>
  <si>
    <t>Quarter/ Month</t>
  </si>
  <si>
    <t>5 &amp; 15</t>
  </si>
  <si>
    <t xml:space="preserve">UDIN : </t>
  </si>
  <si>
    <t>2024-25</t>
  </si>
  <si>
    <t>ON 01.04.2024</t>
  </si>
  <si>
    <t>Miscellaneous Income</t>
  </si>
  <si>
    <t>Business Promotion</t>
  </si>
  <si>
    <t>Conveyance Exp.</t>
  </si>
  <si>
    <t>Fee &amp; Subscription</t>
  </si>
  <si>
    <t>Production Expenses</t>
  </si>
  <si>
    <t>Office expenses</t>
  </si>
  <si>
    <t xml:space="preserve">Interest to Other </t>
  </si>
  <si>
    <t xml:space="preserve">Loading &amp; Unloading Exp. </t>
  </si>
  <si>
    <t>Postage &amp; Courier</t>
  </si>
  <si>
    <t>Printing &amp; Stationery</t>
  </si>
  <si>
    <t>Telephone &amp; Internet Exp.</t>
  </si>
  <si>
    <t>Testing Charges</t>
  </si>
  <si>
    <t>Vehicle Running Charges</t>
  </si>
  <si>
    <t>Round Off</t>
  </si>
  <si>
    <t>Clearing &amp; Forwarding Expenses</t>
  </si>
  <si>
    <t xml:space="preserve">Opening </t>
  </si>
  <si>
    <t>Purchases</t>
  </si>
  <si>
    <t>Electricity Expense</t>
  </si>
  <si>
    <r>
      <t xml:space="preserve">The company has only one class of equity shares having a par value of  </t>
    </r>
    <r>
      <rPr>
        <sz val="14"/>
        <color indexed="8"/>
        <rFont val="Trebuchet MS"/>
        <family val="2"/>
      </rPr>
      <t>Rs 10 per share. Each holder of equity shares is entitled to one vote per share. The company declares and pays dividends in Indian rupees.In the event of liquidation, the equity shareholders are eligible to recieve the remaining assets of the company after distribution of all preferential amounts, in proportion to their shareholding.</t>
    </r>
  </si>
  <si>
    <t>99,75,360 Equity Shares of Rs 10 each</t>
  </si>
  <si>
    <t xml:space="preserve"> REGD. OFFICE-38, S/F, Near MCD Park, Mohammadpur, New Delhi, India-110066</t>
  </si>
  <si>
    <t xml:space="preserve"> Balance Sheet as at 31st March, 2025</t>
  </si>
  <si>
    <t>As at March 31, 2025</t>
  </si>
  <si>
    <t>Notes forming part of the Financial Statements for the year ended March 31, 2025</t>
  </si>
  <si>
    <t>Notes to Financial Statements for the period ended at March 31, 2025</t>
  </si>
  <si>
    <t>31.03.2025</t>
  </si>
  <si>
    <t>As at 31st March 2025</t>
  </si>
  <si>
    <t>For the period ended at March 31, 2025</t>
  </si>
  <si>
    <t>CSR Expense</t>
  </si>
  <si>
    <t>ROC Expense</t>
  </si>
  <si>
    <t>IPO Expense</t>
  </si>
  <si>
    <t>Boulder Expense</t>
  </si>
  <si>
    <t>Prior period Expense</t>
  </si>
  <si>
    <t>ON 31.03.2025</t>
  </si>
  <si>
    <t>Capital Work In Progress-Gabion Wall</t>
  </si>
  <si>
    <t>Capital Work In Progress-Water Tank</t>
  </si>
  <si>
    <t>31st March, 2025</t>
  </si>
  <si>
    <t>As at 31st March, 2025</t>
  </si>
  <si>
    <t>As at 
31st March, 
2025</t>
  </si>
  <si>
    <t>7.15% P.A</t>
  </si>
  <si>
    <t>6.55% P.A</t>
  </si>
  <si>
    <t>30% P.A.</t>
  </si>
  <si>
    <t>27.92 Years</t>
  </si>
  <si>
    <t>28.14 Years</t>
  </si>
  <si>
    <t>(Company Secretary)</t>
  </si>
  <si>
    <t>(CFO)</t>
  </si>
  <si>
    <t>Statement of Profit and Loss for the year April 01, 2024 to March 31, 2025</t>
  </si>
  <si>
    <t>For The Year Ended 31/03/2025</t>
  </si>
  <si>
    <t>For The Year Ended 31/03/2024</t>
  </si>
  <si>
    <t xml:space="preserve">         2. Deferred Tax</t>
  </si>
  <si>
    <t>The company has elected to present earning before interest, tax, depreciation &amp; amortisation (EBITDA) as a separate line item on the face of statement of profit &amp; loss. In its measurement, the company does not include depreciation, amortisation expense, finance cost and tax expense.</t>
  </si>
  <si>
    <t>(a)  Property, Plant &amp; Equipment are stated at cost, less accumulated depreciation. The cost comprises the purchase price, borrowing cost if capitalization criteria are met and directly attributable cost of bringing the assets to its working condition for its intended use.</t>
  </si>
  <si>
    <r>
      <t>(b)</t>
    </r>
    <r>
      <rPr>
        <sz val="14"/>
        <color indexed="8"/>
        <rFont val="Trebuchet MS"/>
        <family val="2"/>
      </rPr>
      <t>  Subsequent expenditures related to an item of Property, Plant &amp; Equipment is added to its book value only if its increases the future benefits from the existing asset beyond its previously assessed standard of performance. All other expenses on existing fixed assets, including day to day repair and maintenance expenditure and cost of replacing parts, are charged to the statement of profit and loss for the period during which such expenses are incurred.</t>
    </r>
  </si>
  <si>
    <r>
      <t>(c)</t>
    </r>
    <r>
      <rPr>
        <sz val="14"/>
        <color indexed="8"/>
        <rFont val="Trebuchet MS"/>
        <family val="2"/>
      </rPr>
      <t xml:space="preserve">   Gains or losses arising from derecognition of Property, Plant &amp; Equipment are measured as the difference between the net disposal proceeds and the carrying amount of asset and are recognized in the statement of profit and loss when the asset is derecognized. </t>
    </r>
  </si>
  <si>
    <t>6 &amp; 8</t>
  </si>
  <si>
    <t>Details of shareholders holding hold by Promoters of company.</t>
  </si>
  <si>
    <t>e.</t>
  </si>
  <si>
    <t>(ii) Disputed dues  -------</t>
  </si>
  <si>
    <t>(i) Un Disputed dues  -------</t>
  </si>
  <si>
    <t xml:space="preserve"> - Provident Fund</t>
  </si>
  <si>
    <t>Note 12: PROPERTY, PLANT AND EQUIPMENT AND INTANGIBLE ASSETS</t>
  </si>
  <si>
    <t>The company has not revalued any of its Property, Plant and Equipment for the FY 2024-25. (P.Y. Nil)</t>
  </si>
  <si>
    <t>Notes to financial statements for the year ended at 31st March 2025</t>
  </si>
  <si>
    <t>Notes to Financial Statements for the year ended at March 31, 2025</t>
  </si>
  <si>
    <t>Retention Money</t>
  </si>
  <si>
    <t>Earnest Money Deposit</t>
  </si>
  <si>
    <t>C. Freehold Land</t>
  </si>
  <si>
    <t>Higher closing inventories leads to decrease in ratio</t>
  </si>
  <si>
    <t>Increase in inventories and trade receivables leads to increase in working capital</t>
  </si>
  <si>
    <t>Higher increase in Trade Receivable leads to decrease in ratio</t>
  </si>
  <si>
    <t>For the Year ended
31-Mar-2025</t>
  </si>
  <si>
    <t>For the year ended March 31, 2025</t>
  </si>
  <si>
    <t>For the year ended March 31, 2024</t>
  </si>
  <si>
    <t>The Company has no cases of any charges or satisfaction which is yet to be registered with ROC beyond the statutory period.</t>
  </si>
  <si>
    <t>The Company has  granted any loans and advances in the nature of loans to promoters, directors, KMP and other related parties in the financial year ending March 31, 2025.</t>
  </si>
  <si>
    <t>The Company is not covered under section 135 of the Companies Act, 2013. Still, the CSR expenditure has been incurred during the financial year ending March 31, 2025. (Previous Year NIL)</t>
  </si>
  <si>
    <t>For the year ended 31st March 2024</t>
  </si>
  <si>
    <t>Prior Period Items</t>
  </si>
  <si>
    <t>Cash Flow Statement for the year ended 31st March, 2025</t>
  </si>
  <si>
    <t>For the year ended 31 March, 2025</t>
  </si>
  <si>
    <t>For the year ended 31 March, 2024</t>
  </si>
  <si>
    <t>Earnings Per Equity Share (Nominal value per share Rs.10 each) (PY Rs. 100 each)</t>
  </si>
  <si>
    <t>* Trade Payable include payable to related party Rs. 1,34,97,237 (P.Y. Rs. 43,56,174)</t>
  </si>
  <si>
    <t>For the year ended 31st March 2025</t>
  </si>
  <si>
    <t>Quarter</t>
  </si>
  <si>
    <t>1,60,00,000 Equity Shares of Rs 10 each</t>
  </si>
  <si>
    <t>Gratuity Expenses</t>
  </si>
  <si>
    <t>Interest on MSME Dues</t>
  </si>
  <si>
    <t xml:space="preserve">          Prior Period Items (Net)</t>
  </si>
  <si>
    <t>Interest over late payment of Income taxes &amp; TDS</t>
  </si>
  <si>
    <t>WIP</t>
  </si>
  <si>
    <t xml:space="preserve">              - WIP</t>
  </si>
  <si>
    <t>The Company reports basic earnings per equity share in accordance with Accounting Standard 20, Earnings per Share. The Basic earnings per share is computed by dividing the net profit attributable to equity shareholders for the period by the weighted average number of equity shares outstanding during the period.
The Company reports diluted earnings per equity share in accordance with Accounting Standard 20, Earnings per Share. The Diluted earnings per share is computed by the net profit or loss for the period attributable to equity shareholders and the weighted average number of shares outstanding during the period should be adjusted for the effects of all dilutive potential equity shares</t>
  </si>
  <si>
    <t>Shareholders:-</t>
  </si>
  <si>
    <t>Name of Promoters</t>
  </si>
  <si>
    <t>(-) Transfer from Reserves*</t>
  </si>
  <si>
    <t>Note No.-45</t>
  </si>
  <si>
    <t>Refer note no. 45</t>
  </si>
  <si>
    <t>* Purchase form related party Rs. 6,70,56,487 (PY Rs. 6,09,94,089)</t>
  </si>
  <si>
    <t>Profit/(Loss) Before Prior period, Exceptional and Extraordinary Items and Tax (I-II)</t>
  </si>
  <si>
    <t>Repayment of long term loans leads to decrease in ratio.</t>
  </si>
  <si>
    <t>iv</t>
  </si>
  <si>
    <t>Prior period adjustment to PPE</t>
  </si>
  <si>
    <t>ABC INDIA LIMITED</t>
  </si>
  <si>
    <t xml:space="preserve"> REGD. OFFICE-….................................................................................</t>
  </si>
  <si>
    <t>Email- …................................., CIN- …....................................</t>
  </si>
  <si>
    <t>For ABC &amp; Company</t>
  </si>
  <si>
    <t>F.R. NO.  0XXXXXX</t>
  </si>
  <si>
    <t>Partner Name</t>
  </si>
  <si>
    <t>Membership No : XXXXXX</t>
  </si>
  <si>
    <t>Place :</t>
  </si>
  <si>
    <t>Director Name</t>
  </si>
  <si>
    <t>DIN No.</t>
  </si>
  <si>
    <t xml:space="preserve">DIN No. </t>
  </si>
  <si>
    <t xml:space="preserve">Place : </t>
  </si>
  <si>
    <t xml:space="preserve">ABC INDIA LIMITED
</t>
  </si>
  <si>
    <t xml:space="preserve">DIN No.  </t>
  </si>
  <si>
    <t>ABC India Limited (‘the Company’) was incorporated in India on January 01, 2000 with its registered office in (State Name) at Registered Office Address.........................................................................
The company is engaged in the business of (Company Object Clause).</t>
  </si>
  <si>
    <t xml:space="preserve"> - ABCD Limited (subsidiary)</t>
  </si>
  <si>
    <t xml:space="preserve"> - ABCDE (subsidiary)</t>
  </si>
  <si>
    <t>ABCD Limited</t>
  </si>
  <si>
    <t>ABCDE Private Limited</t>
  </si>
  <si>
    <t>XYZ Limited</t>
  </si>
  <si>
    <t>(i) …............ (Director)</t>
  </si>
  <si>
    <t>(ii) …........... (Director)</t>
  </si>
  <si>
    <t>(iii) ….............. (Director)</t>
  </si>
  <si>
    <t>(iv) XYZ Private Limited (Common Control)</t>
  </si>
  <si>
    <t>(v) ABCD Limited (Subsidiary)</t>
  </si>
  <si>
    <t>(vi) ABCDE Private Limited (Subsidiary)</t>
  </si>
  <si>
    <t>The Company primarily operates in - (Object Clause of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</si>
</sst>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quot;£&quot;#,##0"/>
    <numFmt numFmtId="43" formatCode="_-* #,##0.00_-;\-* #,##0.00_-;_-* &quot;-&quot;??_-;_-@_-"/>
    <numFmt numFmtId="164" formatCode="_ * #,##0.00_ ;_ * \-#,##0.00_ ;_ * &quot;-&quot;??_ ;_ @_ "/>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_(* #,##0_);_(* \(#,##0\);_(* &quot;-&quot;??_);_(@_)"/>
    <numFmt numFmtId="170" formatCode="_ * #,##0_ ;_ * \-#,##0_ ;_ * &quot;-&quot;??_ ;_ @_ "/>
    <numFmt numFmtId="171" formatCode="0.00_)"/>
    <numFmt numFmtId="172" formatCode="_##,##0.00,"/>
    <numFmt numFmtId="173" formatCode="#,##0;[Red]#,##0"/>
    <numFmt numFmtId="174" formatCode="0.0"/>
    <numFmt numFmtId="175" formatCode="_(* #,##0.0000_);_(* \(#,##0.0000\);_(* &quot;-&quot;??_);_(@_)"/>
    <numFmt numFmtId="176" formatCode="_(* #,##0.000_);_(* \(#,##0.000\);_(* &quot;-&quot;??_);_(@_)"/>
  </numFmts>
  <fonts count="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4"/>
      <name val="Arial"/>
      <family val="2"/>
    </font>
    <font>
      <sz val="11"/>
      <name val="Arial"/>
      <family val="2"/>
    </font>
    <font>
      <sz val="10"/>
      <name val="Trebuchet MS"/>
      <family val="2"/>
    </font>
    <font>
      <sz val="10"/>
      <name val="Arial"/>
      <family val="2"/>
    </font>
    <font>
      <b/>
      <sz val="12"/>
      <name val="Trebuchet MS"/>
      <family val="2"/>
    </font>
    <font>
      <sz val="12"/>
      <name val="Trebuchet MS"/>
      <family val="2"/>
    </font>
    <font>
      <b/>
      <sz val="11"/>
      <name val="Arial"/>
      <family val="2"/>
    </font>
    <font>
      <sz val="11"/>
      <color theme="1"/>
      <name val="Calibri"/>
      <family val="2"/>
      <scheme val="minor"/>
    </font>
    <font>
      <b/>
      <sz val="11"/>
      <color theme="1"/>
      <name val="Calibri"/>
      <family val="2"/>
      <scheme val="minor"/>
    </font>
    <font>
      <sz val="10"/>
      <color theme="1"/>
      <name val="Trebuchet MS"/>
      <family val="2"/>
    </font>
    <font>
      <sz val="14"/>
      <name val="Calibri"/>
      <family val="2"/>
      <scheme val="minor"/>
    </font>
    <font>
      <sz val="12"/>
      <color theme="1"/>
      <name val="Trebuchet MS"/>
      <family val="2"/>
    </font>
    <font>
      <b/>
      <sz val="16"/>
      <name val="Trebuchet MS"/>
      <family val="2"/>
    </font>
    <font>
      <b/>
      <u/>
      <sz val="14"/>
      <name val="Trebuchet MS"/>
      <family val="2"/>
    </font>
    <font>
      <b/>
      <sz val="14"/>
      <color theme="1"/>
      <name val="Trebuchet MS"/>
      <family val="2"/>
    </font>
    <font>
      <sz val="14"/>
      <color theme="1"/>
      <name val="Trebuchet MS"/>
      <family val="2"/>
    </font>
    <font>
      <b/>
      <sz val="14"/>
      <name val="Trebuchet MS"/>
      <family val="2"/>
    </font>
    <font>
      <sz val="14"/>
      <name val="Trebuchet MS"/>
      <family val="2"/>
    </font>
    <font>
      <sz val="14"/>
      <color indexed="8"/>
      <name val="Trebuchet MS"/>
      <family val="2"/>
    </font>
    <font>
      <b/>
      <u/>
      <sz val="14"/>
      <color theme="1"/>
      <name val="Trebuchet MS"/>
      <family val="2"/>
    </font>
    <font>
      <b/>
      <i/>
      <sz val="14"/>
      <name val="Trebuchet MS"/>
      <family val="2"/>
    </font>
    <font>
      <sz val="14"/>
      <color rgb="FFFF0000"/>
      <name val="Trebuchet MS"/>
      <family val="2"/>
    </font>
    <font>
      <sz val="11"/>
      <color theme="1"/>
      <name val="Trebuchet MS"/>
      <family val="2"/>
    </font>
    <font>
      <b/>
      <u/>
      <sz val="14"/>
      <color indexed="8"/>
      <name val="Trebuchet MS"/>
      <family val="2"/>
    </font>
    <font>
      <b/>
      <sz val="12"/>
      <color theme="1"/>
      <name val="Trebuchet MS"/>
      <family val="2"/>
    </font>
    <font>
      <u val="singleAccounting"/>
      <sz val="14"/>
      <name val="Trebuchet MS"/>
      <family val="2"/>
    </font>
    <font>
      <b/>
      <sz val="14"/>
      <color indexed="8"/>
      <name val="Trebuchet MS"/>
      <family val="2"/>
    </font>
    <font>
      <b/>
      <sz val="14"/>
      <color rgb="FF000000"/>
      <name val="Trebuchet MS"/>
      <family val="2"/>
    </font>
    <font>
      <sz val="14"/>
      <color rgb="FF000000"/>
      <name val="Trebuchet MS"/>
      <family val="2"/>
    </font>
    <font>
      <b/>
      <sz val="12"/>
      <name val="Times New Roman"/>
      <family val="1"/>
    </font>
    <font>
      <sz val="10"/>
      <name val="Arial"/>
      <family val="2"/>
    </font>
    <font>
      <sz val="12"/>
      <color theme="1"/>
      <name val="Times New Roman"/>
      <family val="1"/>
    </font>
    <font>
      <b/>
      <u/>
      <sz val="12"/>
      <name val="Trebuchet MS"/>
      <family val="2"/>
    </font>
    <font>
      <b/>
      <u/>
      <sz val="12"/>
      <color indexed="8"/>
      <name val="Trebuchet MS"/>
      <family val="2"/>
    </font>
    <font>
      <sz val="11"/>
      <name val="Trebuchet MS"/>
      <family val="2"/>
    </font>
    <font>
      <u/>
      <sz val="10"/>
      <color indexed="12"/>
      <name val="Arial"/>
      <family val="2"/>
    </font>
    <font>
      <u/>
      <sz val="11"/>
      <color theme="10"/>
      <name val="Calibri"/>
      <family val="2"/>
    </font>
    <font>
      <sz val="10"/>
      <name val="Courier"/>
      <family val="3"/>
    </font>
    <font>
      <sz val="10"/>
      <name val="Courier"/>
    </font>
    <font>
      <sz val="11"/>
      <color theme="1"/>
      <name val="Calibri"/>
      <family val="2"/>
      <charset val="1"/>
      <scheme val="minor"/>
    </font>
    <font>
      <sz val="14"/>
      <name val="Arial"/>
      <family val="2"/>
    </font>
    <font>
      <sz val="16"/>
      <name val="Arial"/>
      <family val="2"/>
    </font>
    <font>
      <b/>
      <sz val="10"/>
      <name val="Arial"/>
      <family val="2"/>
    </font>
    <font>
      <sz val="11"/>
      <color theme="1"/>
      <name val="Times New Roman"/>
      <family val="1"/>
    </font>
    <font>
      <b/>
      <sz val="11"/>
      <color theme="1"/>
      <name val="Times New Roman"/>
      <family val="1"/>
    </font>
    <font>
      <sz val="11"/>
      <name val="Times New Roman"/>
      <family val="1"/>
    </font>
    <font>
      <b/>
      <sz val="11"/>
      <name val="Times New Roman"/>
      <family val="1"/>
    </font>
    <font>
      <sz val="11"/>
      <name val="Calibri"/>
      <family val="2"/>
      <scheme val="minor"/>
    </font>
    <font>
      <b/>
      <sz val="18"/>
      <name val="Bookman Old Style"/>
      <family val="1"/>
    </font>
    <font>
      <b/>
      <sz val="20"/>
      <name val="Bookman Old Style"/>
      <family val="1"/>
    </font>
    <font>
      <sz val="10"/>
      <color rgb="FFFF0000"/>
      <name val="Arial"/>
      <family val="2"/>
    </font>
    <font>
      <b/>
      <sz val="16"/>
      <name val="Bookman Old Style"/>
      <family val="1"/>
    </font>
    <font>
      <b/>
      <sz val="12"/>
      <color rgb="FF000000"/>
      <name val="Times New Roman"/>
      <family val="1"/>
    </font>
    <font>
      <sz val="12"/>
      <color rgb="FF000000"/>
      <name val="Times New Roman"/>
      <family val="1"/>
    </font>
    <font>
      <sz val="14"/>
      <name val="Times New Roman"/>
      <family val="1"/>
    </font>
    <font>
      <sz val="14"/>
      <color theme="1"/>
      <name val="Times New Roman"/>
      <family val="1"/>
    </font>
    <font>
      <b/>
      <sz val="16"/>
      <color theme="1"/>
      <name val="Bookman Old Style"/>
      <family val="1"/>
    </font>
    <font>
      <b/>
      <sz val="14"/>
      <name val="Bookman Old Style"/>
      <family val="1"/>
    </font>
    <font>
      <b/>
      <u/>
      <sz val="12"/>
      <color theme="1"/>
      <name val="Trebuchet MS"/>
      <family val="2"/>
    </font>
    <font>
      <b/>
      <sz val="14"/>
      <color theme="1"/>
      <name val="Bookman Old Style"/>
      <family val="1"/>
    </font>
    <font>
      <sz val="8"/>
      <name val="Arial"/>
      <family val="2"/>
    </font>
    <font>
      <b/>
      <sz val="10"/>
      <name val="Trebuchet MS"/>
      <family val="2"/>
    </font>
    <font>
      <b/>
      <sz val="11"/>
      <name val="Trebuchet MS"/>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6">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double">
        <color indexed="64"/>
      </bottom>
      <diagonal/>
    </border>
    <border>
      <left/>
      <right style="thin">
        <color indexed="64"/>
      </right>
      <top style="double">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s>
  <cellStyleXfs count="137">
    <xf numFmtId="0" fontId="0" fillId="0" borderId="0"/>
    <xf numFmtId="168" fontId="7" fillId="0" borderId="0" applyFont="0" applyFill="0" applyBorder="0" applyAlignment="0" applyProtection="0"/>
    <xf numFmtId="43" fontId="16"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2" fillId="0" borderId="0" applyFont="0" applyFill="0" applyBorder="0" applyAlignment="0" applyProtection="0"/>
    <xf numFmtId="0" fontId="8" fillId="0" borderId="0" applyFont="0" applyFill="0" applyBorder="0" applyAlignment="0" applyProtection="0"/>
    <xf numFmtId="5" fontId="8"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7" fillId="0" borderId="0" applyFont="0" applyFill="0" applyBorder="0" applyAlignment="0" applyProtection="0"/>
    <xf numFmtId="168" fontId="39" fillId="0" borderId="0" applyFont="0" applyFill="0" applyBorder="0" applyAlignment="0" applyProtection="0"/>
    <xf numFmtId="9" fontId="39" fillId="0" borderId="0" applyFont="0" applyFill="0" applyBorder="0" applyAlignment="0" applyProtection="0"/>
    <xf numFmtId="0" fontId="6" fillId="0" borderId="0"/>
    <xf numFmtId="0" fontId="5" fillId="0" borderId="0"/>
    <xf numFmtId="0" fontId="5" fillId="0" borderId="0"/>
    <xf numFmtId="164" fontId="5" fillId="0" borderId="0" applyFont="0" applyFill="0" applyBorder="0" applyAlignment="0" applyProtection="0"/>
    <xf numFmtId="0" fontId="4" fillId="0" borderId="0"/>
    <xf numFmtId="168" fontId="4" fillId="0" borderId="0" applyFont="0" applyFill="0" applyBorder="0" applyAlignment="0" applyProtection="0"/>
    <xf numFmtId="164" fontId="4" fillId="0" borderId="0" applyFont="0" applyFill="0" applyBorder="0" applyAlignment="0" applyProtection="0"/>
    <xf numFmtId="0"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8" fontId="7" fillId="0" borderId="0" applyFont="0" applyFill="0" applyBorder="0" applyAlignment="0" applyProtection="0"/>
    <xf numFmtId="0" fontId="7" fillId="0" borderId="0" applyFont="0" applyFill="0" applyBorder="0" applyAlignment="0" applyProtection="0"/>
    <xf numFmtId="168" fontId="7" fillId="0" borderId="0" applyFont="0" applyFill="0" applyBorder="0" applyAlignment="0" applyProtection="0"/>
    <xf numFmtId="168" fontId="4" fillId="0" borderId="0" applyFont="0" applyFill="0" applyBorder="0" applyAlignment="0" applyProtection="0"/>
    <xf numFmtId="167" fontId="7" fillId="0" borderId="0" applyFont="0" applyFill="0" applyBorder="0" applyAlignment="0" applyProtection="0"/>
    <xf numFmtId="0" fontId="44"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171" fontId="4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7" fillId="0" borderId="0"/>
    <xf numFmtId="0" fontId="4" fillId="0" borderId="0"/>
    <xf numFmtId="0" fontId="4" fillId="0" borderId="0"/>
    <xf numFmtId="0" fontId="4" fillId="0" borderId="0"/>
    <xf numFmtId="0" fontId="4" fillId="0" borderId="0"/>
    <xf numFmtId="0" fontId="4" fillId="0" borderId="0"/>
    <xf numFmtId="0" fontId="48"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1" fontId="46" fillId="0" borderId="0"/>
    <xf numFmtId="0" fontId="3" fillId="0" borderId="0"/>
    <xf numFmtId="0" fontId="7" fillId="0" borderId="0"/>
    <xf numFmtId="0" fontId="7" fillId="0" borderId="0"/>
    <xf numFmtId="0" fontId="2" fillId="0" borderId="0"/>
    <xf numFmtId="164" fontId="2" fillId="0" borderId="0" applyFont="0" applyFill="0" applyBorder="0" applyAlignment="0" applyProtection="0"/>
    <xf numFmtId="168" fontId="18" fillId="0" borderId="0" applyFont="0" applyFill="0" applyBorder="0" applyAlignment="0" applyProtection="0"/>
    <xf numFmtId="9" fontId="2" fillId="0" borderId="0" applyFont="0" applyFill="0" applyBorder="0" applyAlignment="0" applyProtection="0"/>
    <xf numFmtId="0" fontId="1" fillId="0" borderId="0"/>
    <xf numFmtId="168" fontId="18" fillId="0" borderId="0" applyFont="0" applyFill="0" applyBorder="0" applyAlignment="0" applyProtection="0"/>
  </cellStyleXfs>
  <cellXfs count="906">
    <xf numFmtId="0" fontId="0" fillId="0" borderId="0" xfId="0"/>
    <xf numFmtId="170" fontId="25" fillId="0" borderId="0" xfId="1" applyNumberFormat="1" applyFont="1" applyFill="1" applyBorder="1" applyAlignment="1">
      <alignment horizontal="center"/>
    </xf>
    <xf numFmtId="169" fontId="26" fillId="0" borderId="0" xfId="1" applyNumberFormat="1" applyFont="1" applyFill="1" applyBorder="1"/>
    <xf numFmtId="169" fontId="25" fillId="0" borderId="0" xfId="1" applyNumberFormat="1" applyFont="1" applyFill="1" applyBorder="1" applyAlignment="1"/>
    <xf numFmtId="0" fontId="15" fillId="0" borderId="0" xfId="0" applyFont="1"/>
    <xf numFmtId="0" fontId="7" fillId="0" borderId="0" xfId="0" applyFont="1"/>
    <xf numFmtId="168" fontId="0" fillId="0" borderId="0" xfId="0" applyNumberFormat="1"/>
    <xf numFmtId="164" fontId="0" fillId="0" borderId="0" xfId="0" applyNumberFormat="1"/>
    <xf numFmtId="0" fontId="51" fillId="0" borderId="0" xfId="0" applyFont="1"/>
    <xf numFmtId="0" fontId="26" fillId="0" borderId="0" xfId="0" applyFont="1"/>
    <xf numFmtId="169" fontId="26" fillId="0" borderId="0" xfId="1" applyNumberFormat="1" applyFont="1" applyFill="1" applyAlignment="1">
      <alignment horizontal="center" vertical="top"/>
    </xf>
    <xf numFmtId="169" fontId="0" fillId="0" borderId="0" xfId="1" applyNumberFormat="1" applyFont="1"/>
    <xf numFmtId="0" fontId="0" fillId="2" borderId="0" xfId="0" applyFill="1"/>
    <xf numFmtId="174" fontId="17" fillId="0" borderId="0" xfId="0" applyNumberFormat="1" applyFont="1"/>
    <xf numFmtId="0" fontId="17" fillId="0" borderId="0" xfId="0" applyFont="1"/>
    <xf numFmtId="2" fontId="0" fillId="0" borderId="0" xfId="0" applyNumberFormat="1"/>
    <xf numFmtId="174" fontId="0" fillId="0" borderId="0" xfId="0" applyNumberFormat="1"/>
    <xf numFmtId="0" fontId="0" fillId="0" borderId="22" xfId="0" applyBorder="1"/>
    <xf numFmtId="3" fontId="0" fillId="0" borderId="22" xfId="0" applyNumberFormat="1" applyBorder="1"/>
    <xf numFmtId="3" fontId="0" fillId="0" borderId="0" xfId="0" applyNumberFormat="1"/>
    <xf numFmtId="1" fontId="0" fillId="0" borderId="0" xfId="0" applyNumberFormat="1"/>
    <xf numFmtId="0" fontId="61" fillId="0" borderId="0" xfId="0" applyFont="1" applyAlignment="1">
      <alignment vertical="center"/>
    </xf>
    <xf numFmtId="166" fontId="0" fillId="0" borderId="22" xfId="0" applyNumberFormat="1" applyBorder="1"/>
    <xf numFmtId="0" fontId="62" fillId="0" borderId="22" xfId="0" applyFont="1" applyBorder="1" applyAlignment="1">
      <alignment vertical="center"/>
    </xf>
    <xf numFmtId="3" fontId="62" fillId="0" borderId="22" xfId="0" applyNumberFormat="1" applyFont="1" applyBorder="1" applyAlignment="1">
      <alignment vertical="center"/>
    </xf>
    <xf numFmtId="0" fontId="62" fillId="0" borderId="0" xfId="0" applyFont="1" applyAlignment="1">
      <alignment vertical="center"/>
    </xf>
    <xf numFmtId="0" fontId="61" fillId="0" borderId="7" xfId="0" applyFont="1" applyBorder="1" applyAlignment="1">
      <alignment vertical="center"/>
    </xf>
    <xf numFmtId="175" fontId="0" fillId="0" borderId="0" xfId="0" applyNumberFormat="1"/>
    <xf numFmtId="166" fontId="62" fillId="0" borderId="22" xfId="0" applyNumberFormat="1" applyFont="1" applyBorder="1" applyAlignment="1">
      <alignment vertical="center"/>
    </xf>
    <xf numFmtId="3" fontId="62" fillId="0" borderId="0" xfId="0" applyNumberFormat="1" applyFont="1" applyAlignment="1">
      <alignment vertical="center"/>
    </xf>
    <xf numFmtId="176" fontId="0" fillId="0" borderId="0" xfId="0" applyNumberFormat="1"/>
    <xf numFmtId="2" fontId="7" fillId="0" borderId="0" xfId="0" applyNumberFormat="1" applyFont="1"/>
    <xf numFmtId="169" fontId="0" fillId="0" borderId="22" xfId="1" applyNumberFormat="1" applyFont="1" applyBorder="1"/>
    <xf numFmtId="169" fontId="62" fillId="0" borderId="0" xfId="1" applyNumberFormat="1" applyFont="1" applyAlignment="1">
      <alignment vertical="center"/>
    </xf>
    <xf numFmtId="168" fontId="26" fillId="0" borderId="19" xfId="1" applyFont="1" applyFill="1" applyBorder="1" applyAlignment="1">
      <alignment vertical="top" wrapText="1"/>
    </xf>
    <xf numFmtId="172" fontId="65" fillId="0" borderId="0" xfId="131" applyNumberFormat="1" applyFont="1"/>
    <xf numFmtId="172" fontId="64" fillId="0" borderId="0" xfId="131" applyNumberFormat="1" applyFont="1"/>
    <xf numFmtId="172" fontId="23" fillId="0" borderId="16" xfId="131" applyNumberFormat="1" applyFont="1" applyBorder="1"/>
    <xf numFmtId="172" fontId="24" fillId="0" borderId="16" xfId="131" applyNumberFormat="1" applyFont="1" applyBorder="1"/>
    <xf numFmtId="172" fontId="24" fillId="0" borderId="0" xfId="131" applyNumberFormat="1" applyFont="1"/>
    <xf numFmtId="172" fontId="23" fillId="0" borderId="0" xfId="131" applyNumberFormat="1" applyFont="1" applyAlignment="1">
      <alignment horizontal="right"/>
    </xf>
    <xf numFmtId="172" fontId="25" fillId="0" borderId="0" xfId="131" applyNumberFormat="1" applyFont="1" applyAlignment="1">
      <alignment horizontal="center" vertical="center"/>
    </xf>
    <xf numFmtId="172" fontId="23" fillId="0" borderId="0" xfId="131" applyNumberFormat="1" applyFont="1"/>
    <xf numFmtId="172" fontId="23" fillId="0" borderId="29" xfId="131" applyNumberFormat="1" applyFont="1" applyBorder="1" applyAlignment="1">
      <alignment horizontal="center" vertical="center" wrapText="1"/>
    </xf>
    <xf numFmtId="172" fontId="24" fillId="0" borderId="5" xfId="131" applyNumberFormat="1" applyFont="1" applyBorder="1"/>
    <xf numFmtId="172" fontId="24" fillId="0" borderId="2" xfId="131" applyNumberFormat="1" applyFont="1" applyBorder="1"/>
    <xf numFmtId="172" fontId="24" fillId="0" borderId="7" xfId="131" applyNumberFormat="1" applyFont="1" applyBorder="1"/>
    <xf numFmtId="172" fontId="24" fillId="0" borderId="20" xfId="131" applyNumberFormat="1" applyFont="1" applyBorder="1"/>
    <xf numFmtId="172" fontId="24" fillId="0" borderId="4" xfId="131" applyNumberFormat="1" applyFont="1" applyBorder="1"/>
    <xf numFmtId="172" fontId="24" fillId="0" borderId="12" xfId="131" applyNumberFormat="1" applyFont="1" applyBorder="1"/>
    <xf numFmtId="172" fontId="23" fillId="0" borderId="0" xfId="132" applyNumberFormat="1" applyFont="1" applyFill="1" applyBorder="1"/>
    <xf numFmtId="172" fontId="24" fillId="0" borderId="0" xfId="131" applyNumberFormat="1" applyFont="1" applyAlignment="1">
      <alignment horizontal="right" vertical="top"/>
    </xf>
    <xf numFmtId="172" fontId="24" fillId="0" borderId="0" xfId="131" applyNumberFormat="1" applyFont="1" applyAlignment="1">
      <alignment horizontal="justify" vertical="top" wrapText="1"/>
    </xf>
    <xf numFmtId="172" fontId="24" fillId="0" borderId="0" xfId="131" applyNumberFormat="1" applyFont="1" applyAlignment="1">
      <alignment horizontal="right" vertical="center"/>
    </xf>
    <xf numFmtId="172" fontId="24" fillId="0" borderId="0" xfId="131" applyNumberFormat="1" applyFont="1" applyAlignment="1">
      <alignment horizontal="right"/>
    </xf>
    <xf numFmtId="172" fontId="64" fillId="0" borderId="16" xfId="131" applyNumberFormat="1" applyFont="1" applyBorder="1"/>
    <xf numFmtId="172" fontId="64" fillId="0" borderId="0" xfId="131" applyNumberFormat="1" applyFont="1" applyAlignment="1">
      <alignment horizontal="justify" wrapText="1"/>
    </xf>
    <xf numFmtId="172" fontId="23" fillId="0" borderId="0" xfId="131" applyNumberFormat="1" applyFont="1" applyAlignment="1">
      <alignment vertical="center"/>
    </xf>
    <xf numFmtId="172" fontId="24" fillId="0" borderId="0" xfId="131" applyNumberFormat="1" applyFont="1" applyAlignment="1">
      <alignment vertical="center"/>
    </xf>
    <xf numFmtId="172" fontId="64" fillId="0" borderId="0" xfId="131" applyNumberFormat="1" applyFont="1" applyAlignment="1">
      <alignment vertical="center"/>
    </xf>
    <xf numFmtId="172" fontId="23" fillId="0" borderId="0" xfId="131" applyNumberFormat="1" applyFont="1" applyAlignment="1">
      <alignment horizontal="right" vertical="center" wrapText="1"/>
    </xf>
    <xf numFmtId="172" fontId="24" fillId="0" borderId="0" xfId="132" applyNumberFormat="1" applyFont="1" applyFill="1" applyAlignment="1">
      <alignment horizontal="right"/>
    </xf>
    <xf numFmtId="164" fontId="24" fillId="0" borderId="0" xfId="132" applyFont="1" applyFill="1" applyAlignment="1">
      <alignment horizontal="right"/>
    </xf>
    <xf numFmtId="172" fontId="24" fillId="0" borderId="0" xfId="133" applyNumberFormat="1" applyFont="1" applyFill="1" applyBorder="1" applyAlignment="1">
      <alignment horizontal="right"/>
    </xf>
    <xf numFmtId="172" fontId="24" fillId="0" borderId="0" xfId="131" quotePrefix="1" applyNumberFormat="1" applyFont="1" applyAlignment="1">
      <alignment horizontal="left" indent="1"/>
    </xf>
    <xf numFmtId="172" fontId="24" fillId="0" borderId="4" xfId="132" applyNumberFormat="1" applyFont="1" applyFill="1" applyBorder="1" applyAlignment="1">
      <alignment horizontal="right"/>
    </xf>
    <xf numFmtId="172" fontId="24" fillId="0" borderId="0" xfId="132" applyNumberFormat="1" applyFont="1" applyFill="1" applyBorder="1" applyAlignment="1">
      <alignment horizontal="right"/>
    </xf>
    <xf numFmtId="172" fontId="23" fillId="0" borderId="22" xfId="131" applyNumberFormat="1" applyFont="1" applyBorder="1" applyAlignment="1">
      <alignment horizontal="center" vertical="center" wrapText="1"/>
    </xf>
    <xf numFmtId="172" fontId="23" fillId="0" borderId="0" xfId="131" applyNumberFormat="1" applyFont="1" applyAlignment="1">
      <alignment horizontal="center" vertical="center" wrapText="1"/>
    </xf>
    <xf numFmtId="164" fontId="24" fillId="0" borderId="0" xfId="132" applyFont="1" applyFill="1"/>
    <xf numFmtId="172" fontId="24" fillId="0" borderId="0" xfId="132" applyNumberFormat="1" applyFont="1" applyFill="1" applyBorder="1"/>
    <xf numFmtId="172" fontId="24" fillId="0" borderId="0" xfId="133" applyNumberFormat="1" applyFont="1" applyFill="1" applyBorder="1"/>
    <xf numFmtId="164" fontId="24" fillId="0" borderId="4" xfId="132" applyFont="1" applyFill="1" applyBorder="1"/>
    <xf numFmtId="172" fontId="24" fillId="0" borderId="0" xfId="132" applyNumberFormat="1" applyFont="1" applyFill="1"/>
    <xf numFmtId="172" fontId="23" fillId="0" borderId="27" xfId="132" applyNumberFormat="1" applyFont="1" applyFill="1" applyBorder="1" applyAlignment="1">
      <alignment horizontal="center" vertical="center" wrapText="1"/>
    </xf>
    <xf numFmtId="172" fontId="23" fillId="0" borderId="22" xfId="132" applyNumberFormat="1" applyFont="1" applyFill="1" applyBorder="1" applyAlignment="1">
      <alignment horizontal="center" vertical="center" wrapText="1"/>
    </xf>
    <xf numFmtId="172" fontId="24" fillId="0" borderId="0" xfId="132" applyNumberFormat="1" applyFont="1" applyFill="1" applyBorder="1" applyAlignment="1">
      <alignment horizontal="center"/>
    </xf>
    <xf numFmtId="172" fontId="23" fillId="0" borderId="27" xfId="131" applyNumberFormat="1" applyFont="1" applyBorder="1" applyAlignment="1">
      <alignment horizontal="center" vertical="center" wrapText="1"/>
    </xf>
    <xf numFmtId="172" fontId="24" fillId="0" borderId="0" xfId="131" applyNumberFormat="1" applyFont="1" applyAlignment="1">
      <alignment horizontal="center" wrapText="1"/>
    </xf>
    <xf numFmtId="9" fontId="24" fillId="0" borderId="0" xfId="134" applyFont="1" applyFill="1" applyAlignment="1">
      <alignment horizontal="center" wrapText="1"/>
    </xf>
    <xf numFmtId="172" fontId="23" fillId="0" borderId="0" xfId="131" applyNumberFormat="1" applyFont="1" applyAlignment="1">
      <alignment horizontal="right" vertical="top"/>
    </xf>
    <xf numFmtId="172" fontId="23" fillId="0" borderId="0" xfId="131" applyNumberFormat="1" applyFont="1" applyAlignment="1">
      <alignment vertical="top"/>
    </xf>
    <xf numFmtId="164" fontId="24" fillId="0" borderId="0" xfId="132" applyFont="1" applyFill="1" applyBorder="1" applyAlignment="1">
      <alignment horizontal="center"/>
    </xf>
    <xf numFmtId="169" fontId="26" fillId="0" borderId="19" xfId="1" applyNumberFormat="1" applyFont="1" applyFill="1" applyBorder="1" applyAlignment="1">
      <alignment vertical="top" wrapText="1"/>
    </xf>
    <xf numFmtId="172" fontId="24" fillId="0" borderId="0" xfId="131" applyNumberFormat="1" applyFont="1" applyAlignment="1">
      <alignment horizontal="left" indent="1"/>
    </xf>
    <xf numFmtId="172" fontId="24" fillId="0" borderId="0" xfId="131" applyNumberFormat="1" applyFont="1" applyAlignment="1">
      <alignment wrapText="1"/>
    </xf>
    <xf numFmtId="49" fontId="56" fillId="2" borderId="0" xfId="0" applyNumberFormat="1" applyFont="1" applyFill="1" applyAlignment="1">
      <alignment horizontal="right"/>
    </xf>
    <xf numFmtId="0" fontId="56" fillId="2" borderId="0" xfId="0" applyFont="1" applyFill="1"/>
    <xf numFmtId="169" fontId="26" fillId="0" borderId="29" xfId="1" applyNumberFormat="1" applyFont="1" applyFill="1" applyBorder="1"/>
    <xf numFmtId="169" fontId="26" fillId="0" borderId="19" xfId="1" applyNumberFormat="1" applyFont="1" applyFill="1" applyBorder="1"/>
    <xf numFmtId="169" fontId="24" fillId="0" borderId="19" xfId="1" applyNumberFormat="1" applyFont="1" applyFill="1" applyBorder="1"/>
    <xf numFmtId="169" fontId="26" fillId="0" borderId="7" xfId="1" applyNumberFormat="1" applyFont="1" applyFill="1" applyBorder="1" applyAlignment="1">
      <alignment horizontal="left" vertical="top"/>
    </xf>
    <xf numFmtId="169" fontId="26" fillId="0" borderId="29" xfId="1" applyNumberFormat="1" applyFont="1" applyFill="1" applyBorder="1" applyAlignment="1">
      <alignment horizontal="right" vertical="center"/>
    </xf>
    <xf numFmtId="169" fontId="25" fillId="0" borderId="10" xfId="1" applyNumberFormat="1" applyFont="1" applyFill="1" applyBorder="1" applyAlignment="1"/>
    <xf numFmtId="169" fontId="25" fillId="0" borderId="0" xfId="1" applyNumberFormat="1" applyFont="1" applyFill="1" applyAlignment="1">
      <alignment horizontal="center"/>
    </xf>
    <xf numFmtId="169" fontId="0" fillId="0" borderId="0" xfId="1" applyNumberFormat="1" applyFont="1" applyFill="1"/>
    <xf numFmtId="169" fontId="26" fillId="0" borderId="28" xfId="1" applyNumberFormat="1" applyFont="1" applyFill="1" applyBorder="1" applyAlignment="1">
      <alignment vertical="center"/>
    </xf>
    <xf numFmtId="169" fontId="26" fillId="0" borderId="7" xfId="1" applyNumberFormat="1" applyFont="1" applyFill="1" applyBorder="1" applyAlignment="1">
      <alignment vertical="center"/>
    </xf>
    <xf numFmtId="169" fontId="25" fillId="0" borderId="29" xfId="1" applyNumberFormat="1" applyFont="1" applyFill="1" applyBorder="1" applyAlignment="1">
      <alignment horizontal="right" vertical="center"/>
    </xf>
    <xf numFmtId="169" fontId="26" fillId="0" borderId="28" xfId="1" applyNumberFormat="1" applyFont="1" applyFill="1" applyBorder="1" applyAlignment="1">
      <alignment horizontal="right" vertical="center"/>
    </xf>
    <xf numFmtId="169" fontId="25" fillId="0" borderId="28" xfId="1" applyNumberFormat="1" applyFont="1" applyFill="1" applyBorder="1" applyAlignment="1">
      <alignment horizontal="right" vertical="center"/>
    </xf>
    <xf numFmtId="169" fontId="26" fillId="0" borderId="30" xfId="1" applyNumberFormat="1" applyFont="1" applyFill="1" applyBorder="1" applyAlignment="1">
      <alignment wrapText="1"/>
    </xf>
    <xf numFmtId="169" fontId="25" fillId="0" borderId="19" xfId="1" applyNumberFormat="1" applyFont="1" applyFill="1" applyBorder="1" applyAlignment="1">
      <alignment horizontal="right" vertical="center"/>
    </xf>
    <xf numFmtId="169" fontId="25" fillId="0" borderId="32" xfId="1" applyNumberFormat="1" applyFont="1" applyFill="1" applyBorder="1" applyAlignment="1">
      <alignment horizontal="right" vertical="center"/>
    </xf>
    <xf numFmtId="169" fontId="25" fillId="0" borderId="8" xfId="1" applyNumberFormat="1" applyFont="1" applyFill="1" applyBorder="1" applyAlignment="1">
      <alignment horizontal="center" vertical="center" wrapText="1"/>
    </xf>
    <xf numFmtId="169" fontId="24" fillId="0" borderId="0" xfId="1" applyNumberFormat="1" applyFont="1" applyFill="1" applyAlignment="1">
      <alignment horizontal="center" vertical="top"/>
    </xf>
    <xf numFmtId="169" fontId="25" fillId="0" borderId="36" xfId="1" applyNumberFormat="1" applyFont="1" applyFill="1" applyBorder="1" applyAlignment="1"/>
    <xf numFmtId="169" fontId="26" fillId="0" borderId="8" xfId="1" applyNumberFormat="1" applyFont="1" applyFill="1" applyBorder="1"/>
    <xf numFmtId="169" fontId="26" fillId="0" borderId="30" xfId="1" applyNumberFormat="1" applyFont="1" applyFill="1" applyBorder="1" applyAlignment="1">
      <alignment horizontal="right"/>
    </xf>
    <xf numFmtId="169" fontId="26" fillId="0" borderId="8" xfId="1" applyNumberFormat="1" applyFont="1" applyFill="1" applyBorder="1" applyAlignment="1">
      <alignment horizontal="right"/>
    </xf>
    <xf numFmtId="169" fontId="26" fillId="0" borderId="28" xfId="1" applyNumberFormat="1" applyFont="1" applyFill="1" applyBorder="1" applyAlignment="1">
      <alignment horizontal="right"/>
    </xf>
    <xf numFmtId="169" fontId="25" fillId="0" borderId="0" xfId="1" applyNumberFormat="1" applyFont="1" applyFill="1" applyBorder="1" applyAlignment="1">
      <alignment horizontal="center"/>
    </xf>
    <xf numFmtId="169" fontId="25" fillId="0" borderId="29" xfId="1" applyNumberFormat="1" applyFont="1" applyFill="1" applyBorder="1" applyAlignment="1">
      <alignment horizontal="right"/>
    </xf>
    <xf numFmtId="169" fontId="26" fillId="0" borderId="28" xfId="1" applyNumberFormat="1" applyFont="1" applyFill="1" applyBorder="1"/>
    <xf numFmtId="169" fontId="25" fillId="0" borderId="32" xfId="1" applyNumberFormat="1" applyFont="1" applyFill="1" applyBorder="1" applyAlignment="1">
      <alignment horizontal="right"/>
    </xf>
    <xf numFmtId="169" fontId="27" fillId="0" borderId="9" xfId="1" applyNumberFormat="1" applyFont="1" applyFill="1" applyBorder="1" applyAlignment="1"/>
    <xf numFmtId="169" fontId="35" fillId="0" borderId="10" xfId="1" applyNumberFormat="1" applyFont="1" applyFill="1" applyBorder="1" applyAlignment="1"/>
    <xf numFmtId="169" fontId="35" fillId="0" borderId="36" xfId="1" applyNumberFormat="1" applyFont="1" applyFill="1" applyBorder="1" applyAlignment="1"/>
    <xf numFmtId="169" fontId="35" fillId="0" borderId="0" xfId="1" applyNumberFormat="1" applyFont="1" applyFill="1" applyBorder="1" applyAlignment="1"/>
    <xf numFmtId="169" fontId="35" fillId="0" borderId="1" xfId="1" applyNumberFormat="1" applyFont="1" applyFill="1" applyBorder="1" applyAlignment="1"/>
    <xf numFmtId="169" fontId="27" fillId="0" borderId="8" xfId="1" applyNumberFormat="1" applyFont="1" applyFill="1" applyBorder="1" applyAlignment="1"/>
    <xf numFmtId="169" fontId="35" fillId="0" borderId="8" xfId="1" applyNumberFormat="1" applyFont="1" applyFill="1" applyBorder="1" applyAlignment="1"/>
    <xf numFmtId="169" fontId="35" fillId="0" borderId="9" xfId="1" applyNumberFormat="1" applyFont="1" applyFill="1" applyBorder="1" applyAlignment="1"/>
    <xf numFmtId="169" fontId="35" fillId="0" borderId="12" xfId="1" applyNumberFormat="1" applyFont="1" applyFill="1" applyBorder="1" applyAlignment="1"/>
    <xf numFmtId="169" fontId="35" fillId="0" borderId="32" xfId="1" applyNumberFormat="1" applyFont="1" applyFill="1" applyBorder="1" applyAlignment="1"/>
    <xf numFmtId="169" fontId="24" fillId="0" borderId="29" xfId="1" applyNumberFormat="1" applyFont="1" applyFill="1" applyBorder="1"/>
    <xf numFmtId="169" fontId="24" fillId="0" borderId="28" xfId="1" applyNumberFormat="1" applyFont="1" applyFill="1" applyBorder="1"/>
    <xf numFmtId="169" fontId="25" fillId="0" borderId="32" xfId="1" applyNumberFormat="1" applyFont="1" applyFill="1" applyBorder="1" applyAlignment="1"/>
    <xf numFmtId="169" fontId="25" fillId="0" borderId="0" xfId="1" applyNumberFormat="1" applyFont="1" applyFill="1"/>
    <xf numFmtId="169" fontId="26" fillId="0" borderId="0" xfId="1" applyNumberFormat="1" applyFont="1" applyFill="1"/>
    <xf numFmtId="169" fontId="26" fillId="0" borderId="0" xfId="1" applyNumberFormat="1" applyFont="1" applyFill="1" applyAlignment="1">
      <alignment wrapText="1"/>
    </xf>
    <xf numFmtId="169" fontId="26" fillId="0" borderId="0" xfId="1" applyNumberFormat="1" applyFont="1" applyFill="1" applyAlignment="1">
      <alignment horizontal="left"/>
    </xf>
    <xf numFmtId="169" fontId="26" fillId="0" borderId="0" xfId="1" applyNumberFormat="1" applyFont="1" applyFill="1" applyAlignment="1">
      <alignment horizontal="left" wrapText="1"/>
    </xf>
    <xf numFmtId="169" fontId="25" fillId="0" borderId="28" xfId="1" applyNumberFormat="1" applyFont="1" applyFill="1" applyBorder="1" applyAlignment="1">
      <alignment horizontal="right" vertical="center" wrapText="1"/>
    </xf>
    <xf numFmtId="169" fontId="25" fillId="0" borderId="28" xfId="1" applyNumberFormat="1" applyFont="1" applyFill="1" applyBorder="1" applyAlignment="1">
      <alignment horizontal="right"/>
    </xf>
    <xf numFmtId="169" fontId="0" fillId="0" borderId="28" xfId="1" applyNumberFormat="1" applyFont="1" applyFill="1" applyBorder="1" applyAlignment="1">
      <alignment horizontal="right"/>
    </xf>
    <xf numFmtId="169" fontId="26" fillId="0" borderId="7" xfId="1" applyNumberFormat="1" applyFont="1" applyFill="1" applyBorder="1" applyAlignment="1">
      <alignment horizontal="right"/>
    </xf>
    <xf numFmtId="169" fontId="24" fillId="0" borderId="19" xfId="1" applyNumberFormat="1" applyFont="1" applyFill="1" applyBorder="1" applyAlignment="1">
      <alignment vertical="center"/>
    </xf>
    <xf numFmtId="169" fontId="25" fillId="0" borderId="10" xfId="1" applyNumberFormat="1" applyFont="1" applyFill="1" applyBorder="1" applyAlignment="1">
      <alignment horizontal="right" vertical="center"/>
    </xf>
    <xf numFmtId="169" fontId="25" fillId="0" borderId="0" xfId="1" applyNumberFormat="1" applyFont="1" applyFill="1" applyBorder="1" applyAlignment="1">
      <alignment horizontal="center" vertical="center"/>
    </xf>
    <xf numFmtId="169" fontId="25" fillId="0" borderId="0" xfId="1" applyNumberFormat="1" applyFont="1" applyFill="1" applyAlignment="1">
      <alignment horizontal="center" vertical="top"/>
    </xf>
    <xf numFmtId="169" fontId="25" fillId="0" borderId="0" xfId="1" applyNumberFormat="1" applyFont="1" applyFill="1" applyAlignment="1">
      <alignment horizontal="left" vertical="top"/>
    </xf>
    <xf numFmtId="169" fontId="25" fillId="0" borderId="20" xfId="1" applyNumberFormat="1" applyFont="1" applyFill="1" applyBorder="1" applyAlignment="1">
      <alignment vertical="center"/>
    </xf>
    <xf numFmtId="169" fontId="26" fillId="0" borderId="6" xfId="1" applyNumberFormat="1" applyFont="1" applyFill="1" applyBorder="1" applyAlignment="1">
      <alignment wrapText="1"/>
    </xf>
    <xf numFmtId="169" fontId="25" fillId="0" borderId="19" xfId="1" applyNumberFormat="1" applyFont="1" applyFill="1" applyBorder="1"/>
    <xf numFmtId="169" fontId="25" fillId="0" borderId="10" xfId="1" applyNumberFormat="1" applyFont="1" applyFill="1" applyBorder="1" applyAlignment="1">
      <alignment horizontal="right"/>
    </xf>
    <xf numFmtId="169" fontId="26" fillId="0" borderId="36" xfId="1" applyNumberFormat="1" applyFont="1" applyFill="1" applyBorder="1" applyAlignment="1">
      <alignment horizontal="center"/>
    </xf>
    <xf numFmtId="169" fontId="26" fillId="0" borderId="17" xfId="1" applyNumberFormat="1" applyFont="1" applyFill="1" applyBorder="1"/>
    <xf numFmtId="169" fontId="26" fillId="0" borderId="18" xfId="1" applyNumberFormat="1" applyFont="1" applyFill="1" applyBorder="1"/>
    <xf numFmtId="169" fontId="26" fillId="0" borderId="40" xfId="1" applyNumberFormat="1" applyFont="1" applyFill="1" applyBorder="1"/>
    <xf numFmtId="169" fontId="25" fillId="0" borderId="40" xfId="1" applyNumberFormat="1" applyFont="1" applyFill="1" applyBorder="1"/>
    <xf numFmtId="169" fontId="17" fillId="0" borderId="19" xfId="1" applyNumberFormat="1" applyFont="1" applyFill="1" applyBorder="1" applyAlignment="1">
      <alignment horizontal="center"/>
    </xf>
    <xf numFmtId="169" fontId="26" fillId="0" borderId="21" xfId="1" applyNumberFormat="1" applyFont="1" applyFill="1" applyBorder="1"/>
    <xf numFmtId="169" fontId="26" fillId="0" borderId="39" xfId="1" applyNumberFormat="1" applyFont="1" applyFill="1" applyBorder="1"/>
    <xf numFmtId="169" fontId="26" fillId="0" borderId="41" xfId="1" applyNumberFormat="1" applyFont="1" applyFill="1" applyBorder="1"/>
    <xf numFmtId="169" fontId="26" fillId="0" borderId="42" xfId="1" applyNumberFormat="1" applyFont="1" applyFill="1" applyBorder="1"/>
    <xf numFmtId="169" fontId="26" fillId="0" borderId="43" xfId="1" applyNumberFormat="1" applyFont="1" applyFill="1" applyBorder="1"/>
    <xf numFmtId="169" fontId="26" fillId="0" borderId="22" xfId="1" applyNumberFormat="1" applyFont="1" applyFill="1" applyBorder="1"/>
    <xf numFmtId="169" fontId="26" fillId="0" borderId="23" xfId="1" applyNumberFormat="1" applyFont="1" applyFill="1" applyBorder="1"/>
    <xf numFmtId="169" fontId="26" fillId="0" borderId="37" xfId="1" applyNumberFormat="1" applyFont="1" applyFill="1" applyBorder="1"/>
    <xf numFmtId="169" fontId="26" fillId="0" borderId="24" xfId="1" applyNumberFormat="1" applyFont="1" applyFill="1" applyBorder="1"/>
    <xf numFmtId="169" fontId="26" fillId="0" borderId="25" xfId="1" applyNumberFormat="1" applyFont="1" applyFill="1" applyBorder="1"/>
    <xf numFmtId="169" fontId="26" fillId="0" borderId="26" xfId="1" applyNumberFormat="1" applyFont="1" applyFill="1" applyBorder="1"/>
    <xf numFmtId="169" fontId="25" fillId="0" borderId="41" xfId="1" applyNumberFormat="1" applyFont="1" applyFill="1" applyBorder="1"/>
    <xf numFmtId="169" fontId="25" fillId="0" borderId="32" xfId="1" applyNumberFormat="1" applyFont="1" applyFill="1" applyBorder="1"/>
    <xf numFmtId="169" fontId="25" fillId="0" borderId="1" xfId="1" applyNumberFormat="1" applyFont="1" applyFill="1" applyBorder="1" applyAlignment="1">
      <alignment horizontal="center"/>
    </xf>
    <xf numFmtId="169" fontId="26" fillId="0" borderId="28" xfId="1" applyNumberFormat="1" applyFont="1" applyFill="1" applyBorder="1" applyAlignment="1">
      <alignment horizontal="center"/>
    </xf>
    <xf numFmtId="169" fontId="60" fillId="0" borderId="0" xfId="1" applyNumberFormat="1" applyFont="1" applyFill="1"/>
    <xf numFmtId="169" fontId="10" fillId="0" borderId="0" xfId="1" applyNumberFormat="1" applyFont="1" applyFill="1"/>
    <xf numFmtId="169" fontId="25" fillId="0" borderId="16" xfId="1" applyNumberFormat="1" applyFont="1" applyFill="1" applyBorder="1" applyAlignment="1">
      <alignment horizontal="left"/>
    </xf>
    <xf numFmtId="169" fontId="25" fillId="0" borderId="0" xfId="1" applyNumberFormat="1" applyFont="1" applyFill="1" applyBorder="1" applyAlignment="1">
      <alignment horizontal="right"/>
    </xf>
    <xf numFmtId="169" fontId="25" fillId="0" borderId="0" xfId="1" applyNumberFormat="1" applyFont="1" applyFill="1" applyAlignment="1">
      <alignment horizontal="center" vertical="center"/>
    </xf>
    <xf numFmtId="169" fontId="25" fillId="0" borderId="0" xfId="1" applyNumberFormat="1" applyFont="1" applyFill="1" applyAlignment="1">
      <alignment horizontal="left" wrapText="1"/>
    </xf>
    <xf numFmtId="169" fontId="23" fillId="0" borderId="12" xfId="1" applyNumberFormat="1" applyFont="1" applyFill="1" applyBorder="1" applyAlignment="1">
      <alignment horizontal="center" wrapText="1"/>
    </xf>
    <xf numFmtId="169" fontId="23" fillId="0" borderId="19" xfId="1" applyNumberFormat="1" applyFont="1" applyFill="1" applyBorder="1" applyAlignment="1">
      <alignment horizontal="center" wrapText="1"/>
    </xf>
    <xf numFmtId="169" fontId="26" fillId="0" borderId="20" xfId="1" applyNumberFormat="1" applyFont="1" applyFill="1" applyBorder="1" applyAlignment="1"/>
    <xf numFmtId="169" fontId="26" fillId="0" borderId="19" xfId="1" applyNumberFormat="1" applyFont="1" applyFill="1" applyBorder="1" applyAlignment="1"/>
    <xf numFmtId="169" fontId="26" fillId="0" borderId="19" xfId="1" applyNumberFormat="1" applyFont="1" applyFill="1" applyBorder="1" applyAlignment="1">
      <alignment horizontal="center"/>
    </xf>
    <xf numFmtId="169" fontId="25" fillId="0" borderId="19" xfId="1" applyNumberFormat="1" applyFont="1" applyFill="1" applyBorder="1" applyAlignment="1">
      <alignment vertical="center"/>
    </xf>
    <xf numFmtId="169" fontId="25" fillId="0" borderId="19" xfId="1" applyNumberFormat="1" applyFont="1" applyFill="1" applyBorder="1" applyAlignment="1">
      <alignment wrapText="1"/>
    </xf>
    <xf numFmtId="169" fontId="23" fillId="0" borderId="0" xfId="1" applyNumberFormat="1" applyFont="1" applyFill="1" applyAlignment="1">
      <alignment horizontal="center"/>
    </xf>
    <xf numFmtId="169" fontId="23" fillId="0" borderId="0" xfId="1" applyNumberFormat="1" applyFont="1" applyFill="1"/>
    <xf numFmtId="169" fontId="24" fillId="0" borderId="0" xfId="1" applyNumberFormat="1" applyFont="1" applyFill="1"/>
    <xf numFmtId="169" fontId="25" fillId="0" borderId="0" xfId="1" applyNumberFormat="1" applyFont="1" applyFill="1" applyAlignment="1">
      <alignment horizontal="right"/>
    </xf>
    <xf numFmtId="169" fontId="24" fillId="0" borderId="0" xfId="1" applyNumberFormat="1" applyFont="1" applyFill="1" applyAlignment="1">
      <alignment horizontal="right"/>
    </xf>
    <xf numFmtId="169" fontId="23" fillId="0" borderId="19" xfId="1" applyNumberFormat="1" applyFont="1" applyFill="1" applyBorder="1" applyAlignment="1">
      <alignment wrapText="1"/>
    </xf>
    <xf numFmtId="169" fontId="24" fillId="0" borderId="0" xfId="1" applyNumberFormat="1" applyFont="1" applyFill="1" applyBorder="1" applyAlignment="1">
      <alignment horizontal="left"/>
    </xf>
    <xf numFmtId="169" fontId="24" fillId="0" borderId="0" xfId="1" applyNumberFormat="1" applyFont="1" applyFill="1" applyBorder="1"/>
    <xf numFmtId="169" fontId="36" fillId="0" borderId="0" xfId="1" applyNumberFormat="1" applyFont="1" applyFill="1" applyAlignment="1">
      <alignment vertical="center"/>
    </xf>
    <xf numFmtId="169" fontId="37" fillId="0" borderId="0" xfId="1" applyNumberFormat="1" applyFont="1" applyFill="1" applyAlignment="1">
      <alignment vertical="center"/>
    </xf>
    <xf numFmtId="169" fontId="36" fillId="0" borderId="20" xfId="1" applyNumberFormat="1" applyFont="1" applyFill="1" applyBorder="1" applyAlignment="1">
      <alignment horizontal="center" vertical="center"/>
    </xf>
    <xf numFmtId="169" fontId="23" fillId="0" borderId="19" xfId="1" applyNumberFormat="1" applyFont="1" applyFill="1" applyBorder="1" applyAlignment="1">
      <alignment horizontal="center" vertical="center" wrapText="1"/>
    </xf>
    <xf numFmtId="169" fontId="23" fillId="0" borderId="19" xfId="1" applyNumberFormat="1" applyFont="1" applyFill="1" applyBorder="1" applyAlignment="1">
      <alignment horizontal="center" vertical="center"/>
    </xf>
    <xf numFmtId="169" fontId="37" fillId="0" borderId="20" xfId="1" applyNumberFormat="1" applyFont="1" applyFill="1" applyBorder="1" applyAlignment="1">
      <alignment horizontal="center" vertical="center"/>
    </xf>
    <xf numFmtId="169" fontId="23" fillId="0" borderId="19" xfId="1" applyNumberFormat="1" applyFont="1" applyFill="1" applyBorder="1" applyAlignment="1">
      <alignment horizontal="center"/>
    </xf>
    <xf numFmtId="169" fontId="37" fillId="0" borderId="20" xfId="1" applyNumberFormat="1" applyFont="1" applyFill="1" applyBorder="1" applyAlignment="1">
      <alignment horizontal="center" vertical="center" wrapText="1"/>
    </xf>
    <xf numFmtId="169" fontId="24" fillId="0" borderId="19" xfId="1" applyNumberFormat="1" applyFont="1" applyFill="1" applyBorder="1" applyAlignment="1">
      <alignment horizontal="center"/>
    </xf>
    <xf numFmtId="169" fontId="15" fillId="0" borderId="0" xfId="1" applyNumberFormat="1" applyFont="1" applyFill="1"/>
    <xf numFmtId="169" fontId="26" fillId="0" borderId="7" xfId="1" applyNumberFormat="1" applyFont="1" applyFill="1" applyBorder="1"/>
    <xf numFmtId="169" fontId="35" fillId="0" borderId="0" xfId="1" applyNumberFormat="1" applyFont="1" applyFill="1" applyBorder="1" applyAlignment="1">
      <alignment horizontal="center" vertical="center"/>
    </xf>
    <xf numFmtId="169" fontId="43" fillId="0" borderId="0" xfId="1" applyNumberFormat="1" applyFont="1" applyFill="1"/>
    <xf numFmtId="169" fontId="26" fillId="0" borderId="0" xfId="1" applyNumberFormat="1" applyFont="1" applyFill="1" applyAlignment="1">
      <alignment horizontal="left" vertical="top"/>
    </xf>
    <xf numFmtId="169" fontId="23" fillId="0" borderId="0" xfId="1" applyNumberFormat="1" applyFont="1" applyFill="1" applyAlignment="1">
      <alignment vertical="top" wrapText="1"/>
    </xf>
    <xf numFmtId="169" fontId="23" fillId="0" borderId="0" xfId="1" applyNumberFormat="1" applyFont="1" applyFill="1" applyAlignment="1">
      <alignment horizontal="center" vertical="top"/>
    </xf>
    <xf numFmtId="169" fontId="31" fillId="0" borderId="0" xfId="1" applyNumberFormat="1" applyFont="1" applyFill="1"/>
    <xf numFmtId="169" fontId="23" fillId="0" borderId="5" xfId="1" applyNumberFormat="1" applyFont="1" applyFill="1" applyBorder="1" applyAlignment="1">
      <alignment vertical="center"/>
    </xf>
    <xf numFmtId="169" fontId="23" fillId="0" borderId="9" xfId="1" applyNumberFormat="1" applyFont="1" applyFill="1" applyBorder="1" applyAlignment="1">
      <alignment horizontal="center" vertical="center" wrapText="1"/>
    </xf>
    <xf numFmtId="169" fontId="23" fillId="0" borderId="29" xfId="1" applyNumberFormat="1" applyFont="1" applyFill="1" applyBorder="1" applyAlignment="1">
      <alignment horizontal="center" vertical="center" wrapText="1"/>
    </xf>
    <xf numFmtId="169" fontId="23" fillId="0" borderId="29" xfId="1" applyNumberFormat="1" applyFont="1" applyFill="1" applyBorder="1"/>
    <xf numFmtId="169" fontId="24" fillId="0" borderId="7" xfId="1" applyNumberFormat="1" applyFont="1" applyFill="1" applyBorder="1" applyAlignment="1">
      <alignment vertical="center"/>
    </xf>
    <xf numFmtId="169" fontId="23" fillId="0" borderId="8" xfId="1" applyNumberFormat="1" applyFont="1" applyFill="1" applyBorder="1" applyAlignment="1">
      <alignment horizontal="center" vertical="center" wrapText="1"/>
    </xf>
    <xf numFmtId="169" fontId="24" fillId="0" borderId="28" xfId="1" applyNumberFormat="1" applyFont="1" applyFill="1" applyBorder="1" applyAlignment="1">
      <alignment horizontal="center" vertical="center" wrapText="1"/>
    </xf>
    <xf numFmtId="169" fontId="24" fillId="0" borderId="28" xfId="1" applyNumberFormat="1" applyFont="1" applyFill="1" applyBorder="1" applyAlignment="1"/>
    <xf numFmtId="169" fontId="26" fillId="0" borderId="28" xfId="1" applyNumberFormat="1" applyFont="1" applyFill="1" applyBorder="1" applyAlignment="1">
      <alignment horizontal="center" vertical="top"/>
    </xf>
    <xf numFmtId="169" fontId="23" fillId="0" borderId="7" xfId="1" applyNumberFormat="1" applyFont="1" applyFill="1" applyBorder="1" applyAlignment="1">
      <alignment vertical="center"/>
    </xf>
    <xf numFmtId="169" fontId="23" fillId="0" borderId="28" xfId="1" applyNumberFormat="1" applyFont="1" applyFill="1" applyBorder="1" applyAlignment="1">
      <alignment horizontal="center" vertical="center" wrapText="1"/>
    </xf>
    <xf numFmtId="169" fontId="23" fillId="0" borderId="28" xfId="1" applyNumberFormat="1" applyFont="1" applyFill="1" applyBorder="1"/>
    <xf numFmtId="169" fontId="24" fillId="0" borderId="7" xfId="1" applyNumberFormat="1" applyFont="1" applyFill="1" applyBorder="1" applyAlignment="1">
      <alignment horizontal="left" vertical="center"/>
    </xf>
    <xf numFmtId="169" fontId="26" fillId="0" borderId="28" xfId="1" applyNumberFormat="1" applyFont="1" applyFill="1" applyBorder="1" applyAlignment="1"/>
    <xf numFmtId="169" fontId="26" fillId="0" borderId="8" xfId="1" applyNumberFormat="1" applyFont="1" applyFill="1" applyBorder="1" applyAlignment="1">
      <alignment horizontal="center" vertical="top"/>
    </xf>
    <xf numFmtId="169" fontId="24" fillId="0" borderId="7" xfId="1" applyNumberFormat="1" applyFont="1" applyFill="1" applyBorder="1" applyAlignment="1">
      <alignment horizontal="center" vertical="center"/>
    </xf>
    <xf numFmtId="169" fontId="26" fillId="0" borderId="28" xfId="1" applyNumberFormat="1" applyFont="1" applyFill="1" applyBorder="1" applyAlignment="1">
      <alignment vertical="top"/>
    </xf>
    <xf numFmtId="169" fontId="26" fillId="0" borderId="28" xfId="1" applyNumberFormat="1" applyFont="1" applyFill="1" applyBorder="1" applyAlignment="1">
      <alignment horizontal="center" vertical="top" wrapText="1"/>
    </xf>
    <xf numFmtId="169" fontId="26" fillId="0" borderId="6" xfId="1" applyNumberFormat="1" applyFont="1" applyFill="1" applyBorder="1" applyAlignment="1">
      <alignment horizontal="left" vertical="top"/>
    </xf>
    <xf numFmtId="169" fontId="26" fillId="0" borderId="11" xfId="1" applyNumberFormat="1" applyFont="1" applyFill="1" applyBorder="1" applyAlignment="1">
      <alignment horizontal="center" vertical="top"/>
    </xf>
    <xf numFmtId="169" fontId="26" fillId="0" borderId="30" xfId="1" applyNumberFormat="1" applyFont="1" applyFill="1" applyBorder="1" applyAlignment="1">
      <alignment horizontal="center" vertical="top" wrapText="1"/>
    </xf>
    <xf numFmtId="169" fontId="26" fillId="0" borderId="30" xfId="1" applyNumberFormat="1" applyFont="1" applyFill="1" applyBorder="1" applyAlignment="1">
      <alignment vertical="top"/>
    </xf>
    <xf numFmtId="169" fontId="23" fillId="0" borderId="0" xfId="1" applyNumberFormat="1" applyFont="1" applyFill="1" applyAlignment="1">
      <alignment horizontal="left" vertical="center"/>
    </xf>
    <xf numFmtId="169" fontId="24" fillId="0" borderId="0" xfId="1" applyNumberFormat="1" applyFont="1" applyFill="1" applyAlignment="1">
      <alignment horizontal="left" vertical="center"/>
    </xf>
    <xf numFmtId="169" fontId="23" fillId="0" borderId="0" xfId="1" applyNumberFormat="1" applyFont="1" applyFill="1" applyBorder="1" applyAlignment="1">
      <alignment vertical="center"/>
    </xf>
    <xf numFmtId="169" fontId="24" fillId="0" borderId="0" xfId="1" applyNumberFormat="1" applyFont="1" applyFill="1" applyAlignment="1">
      <alignment vertical="center"/>
    </xf>
    <xf numFmtId="169" fontId="24" fillId="0" borderId="0" xfId="1" applyNumberFormat="1" applyFont="1" applyFill="1" applyAlignment="1">
      <alignment horizontal="center" vertical="center"/>
    </xf>
    <xf numFmtId="169" fontId="63" fillId="0" borderId="0" xfId="1" applyNumberFormat="1" applyFont="1" applyFill="1" applyAlignment="1">
      <alignment vertical="top" wrapText="1"/>
    </xf>
    <xf numFmtId="169" fontId="26" fillId="0" borderId="0" xfId="1" applyNumberFormat="1" applyFont="1" applyFill="1" applyAlignment="1">
      <alignment horizontal="left" vertical="top" wrapText="1"/>
    </xf>
    <xf numFmtId="169" fontId="26" fillId="0" borderId="0" xfId="1" applyNumberFormat="1" applyFont="1" applyFill="1" applyAlignment="1">
      <alignment vertical="top" wrapText="1"/>
    </xf>
    <xf numFmtId="169" fontId="26" fillId="0" borderId="0" xfId="1" applyNumberFormat="1" applyFont="1" applyFill="1" applyAlignment="1">
      <alignment vertical="justify" wrapText="1"/>
    </xf>
    <xf numFmtId="169" fontId="24" fillId="0" borderId="0" xfId="1" applyNumberFormat="1" applyFont="1" applyFill="1" applyAlignment="1">
      <alignment wrapText="1"/>
    </xf>
    <xf numFmtId="169" fontId="24" fillId="0" borderId="0" xfId="1" applyNumberFormat="1" applyFont="1" applyFill="1" applyAlignment="1">
      <alignment horizontal="left" wrapText="1"/>
    </xf>
    <xf numFmtId="169" fontId="23" fillId="0" borderId="1" xfId="1" applyNumberFormat="1" applyFont="1" applyFill="1" applyBorder="1" applyAlignment="1">
      <alignment horizontal="center" vertical="center" wrapText="1"/>
    </xf>
    <xf numFmtId="169" fontId="24" fillId="0" borderId="2" xfId="1" applyNumberFormat="1" applyFont="1" applyFill="1" applyBorder="1" applyAlignment="1">
      <alignment horizontal="center"/>
    </xf>
    <xf numFmtId="169" fontId="24" fillId="0" borderId="0" xfId="1" applyNumberFormat="1" applyFont="1" applyFill="1" applyBorder="1" applyAlignment="1">
      <alignment horizontal="left" wrapText="1"/>
    </xf>
    <xf numFmtId="169" fontId="24" fillId="0" borderId="1" xfId="1" applyNumberFormat="1" applyFont="1" applyFill="1" applyBorder="1" applyAlignment="1">
      <alignment horizontal="center"/>
    </xf>
    <xf numFmtId="169" fontId="26" fillId="0" borderId="0" xfId="1" applyNumberFormat="1" applyFont="1" applyFill="1" applyAlignment="1">
      <alignment horizontal="center" vertical="center" wrapText="1"/>
    </xf>
    <xf numFmtId="169" fontId="24" fillId="0" borderId="4" xfId="1" applyNumberFormat="1" applyFont="1" applyFill="1" applyBorder="1" applyAlignment="1">
      <alignment horizontal="center"/>
    </xf>
    <xf numFmtId="169" fontId="23" fillId="0" borderId="0" xfId="1" applyNumberFormat="1" applyFont="1" applyFill="1" applyAlignment="1">
      <alignment vertical="center"/>
    </xf>
    <xf numFmtId="169" fontId="23" fillId="0" borderId="0" xfId="1" applyNumberFormat="1" applyFont="1" applyFill="1" applyAlignment="1">
      <alignment horizontal="right" vertical="top"/>
    </xf>
    <xf numFmtId="169" fontId="26" fillId="0" borderId="0" xfId="1" applyNumberFormat="1" applyFont="1" applyFill="1" applyAlignment="1">
      <alignment horizontal="center" vertical="center"/>
    </xf>
    <xf numFmtId="169" fontId="26" fillId="0" borderId="19" xfId="1" applyNumberFormat="1" applyFont="1" applyFill="1" applyBorder="1" applyAlignment="1">
      <alignment horizontal="center" vertical="center" wrapText="1"/>
    </xf>
    <xf numFmtId="169" fontId="24" fillId="0" borderId="0" xfId="1" applyNumberFormat="1" applyFont="1" applyFill="1" applyAlignment="1">
      <alignment horizontal="center"/>
    </xf>
    <xf numFmtId="169" fontId="26" fillId="0" borderId="0" xfId="1" applyNumberFormat="1" applyFont="1" applyFill="1" applyAlignment="1">
      <alignment horizontal="justify" vertical="top" wrapText="1"/>
    </xf>
    <xf numFmtId="169" fontId="26" fillId="0" borderId="12" xfId="1" applyNumberFormat="1" applyFont="1" applyFill="1" applyBorder="1" applyAlignment="1">
      <alignment vertical="top" wrapText="1"/>
    </xf>
    <xf numFmtId="169" fontId="26" fillId="0" borderId="0" xfId="1" applyNumberFormat="1" applyFont="1" applyFill="1" applyBorder="1" applyAlignment="1">
      <alignment horizontal="right" vertical="top" wrapText="1"/>
    </xf>
    <xf numFmtId="169" fontId="26" fillId="0" borderId="0" xfId="1" applyNumberFormat="1" applyFont="1" applyFill="1" applyBorder="1" applyAlignment="1">
      <alignment horizontal="center" vertical="top" wrapText="1"/>
    </xf>
    <xf numFmtId="169" fontId="59" fillId="0" borderId="0" xfId="1" applyNumberFormat="1" applyFont="1" applyFill="1"/>
    <xf numFmtId="0" fontId="0" fillId="0" borderId="0" xfId="0" applyAlignment="1">
      <alignment vertical="center" wrapText="1"/>
    </xf>
    <xf numFmtId="169" fontId="24" fillId="0" borderId="30" xfId="1" applyNumberFormat="1" applyFont="1" applyFill="1" applyBorder="1"/>
    <xf numFmtId="169" fontId="23" fillId="0" borderId="30" xfId="1" applyNumberFormat="1" applyFont="1" applyFill="1" applyBorder="1"/>
    <xf numFmtId="0" fontId="0" fillId="0" borderId="0" xfId="0" applyAlignment="1">
      <alignment vertical="top" wrapText="1"/>
    </xf>
    <xf numFmtId="172" fontId="23" fillId="0" borderId="22" xfId="131" applyNumberFormat="1" applyFont="1" applyBorder="1" applyAlignment="1">
      <alignment horizontal="right" vertical="center" wrapText="1"/>
    </xf>
    <xf numFmtId="164" fontId="24" fillId="0" borderId="4" xfId="132" applyFont="1" applyFill="1" applyBorder="1" applyAlignment="1">
      <alignment horizontal="right"/>
    </xf>
    <xf numFmtId="172" fontId="25" fillId="0" borderId="4" xfId="132" applyNumberFormat="1" applyFont="1" applyFill="1" applyBorder="1"/>
    <xf numFmtId="164" fontId="23" fillId="0" borderId="4" xfId="132" applyFont="1" applyFill="1" applyBorder="1"/>
    <xf numFmtId="172" fontId="24" fillId="0" borderId="0" xfId="134" applyNumberFormat="1" applyFont="1" applyFill="1" applyAlignment="1">
      <alignment horizontal="center" wrapText="1"/>
    </xf>
    <xf numFmtId="170" fontId="24" fillId="0" borderId="0" xfId="132" applyNumberFormat="1" applyFont="1" applyFill="1" applyAlignment="1">
      <alignment horizontal="right"/>
    </xf>
    <xf numFmtId="169" fontId="24" fillId="0" borderId="4" xfId="1" applyNumberFormat="1" applyFont="1" applyFill="1" applyBorder="1" applyAlignment="1">
      <alignment horizontal="right"/>
    </xf>
    <xf numFmtId="169" fontId="24" fillId="0" borderId="4" xfId="1" applyNumberFormat="1" applyFont="1" applyFill="1" applyBorder="1"/>
    <xf numFmtId="169" fontId="23" fillId="0" borderId="27" xfId="1" applyNumberFormat="1" applyFont="1" applyFill="1" applyBorder="1" applyAlignment="1">
      <alignment horizontal="center" vertical="center" wrapText="1"/>
    </xf>
    <xf numFmtId="169" fontId="25" fillId="0" borderId="4" xfId="1" applyNumberFormat="1" applyFont="1" applyFill="1" applyBorder="1" applyAlignment="1">
      <alignment horizontal="center"/>
    </xf>
    <xf numFmtId="169" fontId="23" fillId="0" borderId="4" xfId="1" applyNumberFormat="1" applyFont="1" applyFill="1" applyBorder="1" applyAlignment="1">
      <alignment horizontal="center"/>
    </xf>
    <xf numFmtId="17" fontId="13" fillId="2" borderId="0" xfId="39" applyNumberFormat="1" applyFont="1" applyFill="1" applyAlignment="1">
      <alignment horizontal="right"/>
    </xf>
    <xf numFmtId="49" fontId="43" fillId="2" borderId="0" xfId="39" applyNumberFormat="1" applyFont="1" applyFill="1" applyAlignment="1">
      <alignment horizontal="right"/>
    </xf>
    <xf numFmtId="169" fontId="22" fillId="0" borderId="0" xfId="1" applyNumberFormat="1" applyFont="1" applyFill="1" applyAlignment="1">
      <alignment horizontal="left" vertical="center"/>
    </xf>
    <xf numFmtId="169" fontId="26" fillId="0" borderId="7" xfId="1" applyNumberFormat="1" applyFont="1" applyFill="1" applyBorder="1" applyAlignment="1">
      <alignment horizontal="left" vertical="center"/>
    </xf>
    <xf numFmtId="169" fontId="22" fillId="0" borderId="7" xfId="1" applyNumberFormat="1" applyFont="1" applyFill="1" applyBorder="1" applyAlignment="1">
      <alignment horizontal="left"/>
    </xf>
    <xf numFmtId="169" fontId="25" fillId="0" borderId="8" xfId="1" applyNumberFormat="1" applyFont="1" applyFill="1" applyBorder="1" applyAlignment="1">
      <alignment horizontal="center"/>
    </xf>
    <xf numFmtId="169" fontId="27" fillId="0" borderId="0" xfId="1" applyNumberFormat="1" applyFont="1" applyFill="1" applyBorder="1" applyAlignment="1"/>
    <xf numFmtId="169" fontId="26" fillId="0" borderId="8" xfId="1" applyNumberFormat="1" applyFont="1" applyFill="1" applyBorder="1" applyAlignment="1">
      <alignment horizontal="center"/>
    </xf>
    <xf numFmtId="169" fontId="25" fillId="0" borderId="28" xfId="1" applyNumberFormat="1" applyFont="1" applyFill="1" applyBorder="1" applyAlignment="1">
      <alignment horizontal="center"/>
    </xf>
    <xf numFmtId="169" fontId="32" fillId="0" borderId="0" xfId="1" applyNumberFormat="1" applyFont="1" applyFill="1" applyAlignment="1">
      <alignment horizontal="center"/>
    </xf>
    <xf numFmtId="169" fontId="21" fillId="0" borderId="0" xfId="1" applyNumberFormat="1" applyFont="1" applyFill="1" applyAlignment="1">
      <alignment horizontal="center"/>
    </xf>
    <xf numFmtId="169" fontId="26" fillId="0" borderId="33" xfId="1" applyNumberFormat="1" applyFont="1" applyFill="1" applyBorder="1" applyAlignment="1">
      <alignment horizontal="center"/>
    </xf>
    <xf numFmtId="169" fontId="26" fillId="0" borderId="11" xfId="1" applyNumberFormat="1" applyFont="1" applyFill="1" applyBorder="1" applyAlignment="1">
      <alignment horizontal="right"/>
    </xf>
    <xf numFmtId="169" fontId="30" fillId="0" borderId="0" xfId="1" applyNumberFormat="1" applyFont="1" applyFill="1" applyAlignment="1">
      <alignment horizontal="center"/>
    </xf>
    <xf numFmtId="169" fontId="25" fillId="0" borderId="34" xfId="1" applyNumberFormat="1" applyFont="1" applyFill="1" applyBorder="1" applyAlignment="1">
      <alignment horizontal="right"/>
    </xf>
    <xf numFmtId="169" fontId="26" fillId="0" borderId="35" xfId="1" applyNumberFormat="1" applyFont="1" applyFill="1" applyBorder="1" applyAlignment="1">
      <alignment horizontal="right"/>
    </xf>
    <xf numFmtId="169" fontId="25" fillId="0" borderId="8" xfId="1" applyNumberFormat="1" applyFont="1" applyFill="1" applyBorder="1" applyAlignment="1">
      <alignment horizontal="right"/>
    </xf>
    <xf numFmtId="169" fontId="20" fillId="0" borderId="28" xfId="1" applyNumberFormat="1" applyFont="1" applyFill="1" applyBorder="1"/>
    <xf numFmtId="168" fontId="25" fillId="0" borderId="28" xfId="1" applyFont="1" applyFill="1" applyBorder="1" applyAlignment="1">
      <alignment horizontal="center"/>
    </xf>
    <xf numFmtId="168" fontId="25" fillId="0" borderId="30" xfId="1" applyFont="1" applyFill="1" applyBorder="1" applyAlignment="1">
      <alignment horizontal="center"/>
    </xf>
    <xf numFmtId="169" fontId="25" fillId="0" borderId="0" xfId="1" applyNumberFormat="1" applyFont="1" applyFill="1" applyBorder="1" applyAlignment="1">
      <alignment horizontal="left"/>
    </xf>
    <xf numFmtId="169" fontId="22" fillId="0" borderId="0" xfId="1" applyNumberFormat="1" applyFont="1" applyFill="1" applyAlignment="1">
      <alignment horizontal="center"/>
    </xf>
    <xf numFmtId="169" fontId="22" fillId="0" borderId="8" xfId="1" applyNumberFormat="1" applyFont="1" applyFill="1" applyBorder="1" applyAlignment="1">
      <alignment horizontal="center"/>
    </xf>
    <xf numFmtId="169" fontId="24" fillId="0" borderId="29" xfId="1" applyNumberFormat="1" applyFont="1" applyFill="1" applyBorder="1" applyAlignment="1">
      <alignment horizontal="left"/>
    </xf>
    <xf numFmtId="169" fontId="50" fillId="0" borderId="0" xfId="1" applyNumberFormat="1" applyFont="1" applyFill="1"/>
    <xf numFmtId="169" fontId="34" fillId="0" borderId="7" xfId="1" applyNumberFormat="1" applyFont="1" applyFill="1" applyBorder="1" applyAlignment="1">
      <alignment horizontal="left"/>
    </xf>
    <xf numFmtId="169" fontId="26" fillId="0" borderId="30" xfId="1" applyNumberFormat="1" applyFont="1" applyFill="1" applyBorder="1" applyAlignment="1">
      <alignment horizontal="left"/>
    </xf>
    <xf numFmtId="169" fontId="24" fillId="0" borderId="28" xfId="1" applyNumberFormat="1" applyFont="1" applyFill="1" applyBorder="1" applyAlignment="1">
      <alignment horizontal="left"/>
    </xf>
    <xf numFmtId="169" fontId="26" fillId="0" borderId="28" xfId="1" applyNumberFormat="1" applyFont="1" applyFill="1" applyBorder="1" applyAlignment="1">
      <alignment horizontal="left"/>
    </xf>
    <xf numFmtId="169" fontId="26" fillId="0" borderId="30" xfId="1" applyNumberFormat="1" applyFont="1" applyFill="1" applyBorder="1"/>
    <xf numFmtId="169" fontId="25" fillId="0" borderId="6" xfId="1" applyNumberFormat="1" applyFont="1" applyFill="1" applyBorder="1" applyAlignment="1">
      <alignment horizontal="center" wrapText="1"/>
    </xf>
    <xf numFmtId="169" fontId="38" fillId="0" borderId="0" xfId="1" applyNumberFormat="1" applyFont="1" applyFill="1" applyAlignment="1">
      <alignment horizontal="left" vertical="top"/>
    </xf>
    <xf numFmtId="169" fontId="40" fillId="0" borderId="0" xfId="1" applyNumberFormat="1" applyFont="1" applyFill="1" applyAlignment="1">
      <alignment horizontal="center" vertical="top"/>
    </xf>
    <xf numFmtId="169" fontId="38" fillId="0" borderId="0" xfId="1" applyNumberFormat="1" applyFont="1" applyFill="1" applyAlignment="1">
      <alignment horizontal="center" wrapText="1"/>
    </xf>
    <xf numFmtId="169" fontId="24" fillId="0" borderId="19" xfId="1" applyNumberFormat="1" applyFont="1" applyFill="1" applyBorder="1" applyAlignment="1">
      <alignment horizontal="left" vertical="center"/>
    </xf>
    <xf numFmtId="169" fontId="0" fillId="0" borderId="19" xfId="1" applyNumberFormat="1" applyFont="1" applyFill="1" applyBorder="1" applyAlignment="1">
      <alignment horizontal="left"/>
    </xf>
    <xf numFmtId="169" fontId="24" fillId="0" borderId="19" xfId="1" quotePrefix="1" applyNumberFormat="1" applyFont="1" applyFill="1" applyBorder="1" applyAlignment="1">
      <alignment horizontal="center" vertical="center" wrapText="1"/>
    </xf>
    <xf numFmtId="169" fontId="23" fillId="0" borderId="0" xfId="1" applyNumberFormat="1" applyFont="1" applyFill="1" applyBorder="1" applyAlignment="1">
      <alignment horizontal="center" vertical="center"/>
    </xf>
    <xf numFmtId="169" fontId="26" fillId="0" borderId="5" xfId="1" applyNumberFormat="1" applyFont="1" applyFill="1" applyBorder="1" applyAlignment="1">
      <alignment horizontal="left"/>
    </xf>
    <xf numFmtId="169" fontId="25" fillId="0" borderId="2" xfId="1" applyNumberFormat="1" applyFont="1" applyFill="1" applyBorder="1" applyAlignment="1">
      <alignment horizontal="center"/>
    </xf>
    <xf numFmtId="169" fontId="26" fillId="0" borderId="9" xfId="1" applyNumberFormat="1" applyFont="1" applyFill="1" applyBorder="1" applyAlignment="1">
      <alignment horizontal="center"/>
    </xf>
    <xf numFmtId="169" fontId="25" fillId="0" borderId="0" xfId="1" applyNumberFormat="1" applyFont="1" applyFill="1" applyAlignment="1">
      <alignment vertical="top"/>
    </xf>
    <xf numFmtId="169" fontId="49" fillId="0" borderId="0" xfId="1" applyNumberFormat="1" applyFont="1" applyFill="1"/>
    <xf numFmtId="169" fontId="7" fillId="0" borderId="0" xfId="1" applyNumberFormat="1" applyFont="1" applyFill="1"/>
    <xf numFmtId="169" fontId="29" fillId="0" borderId="0" xfId="1" applyNumberFormat="1" applyFont="1" applyFill="1"/>
    <xf numFmtId="169" fontId="25" fillId="0" borderId="1" xfId="1" applyNumberFormat="1" applyFont="1" applyFill="1" applyBorder="1" applyAlignment="1">
      <alignment horizontal="right"/>
    </xf>
    <xf numFmtId="169" fontId="29" fillId="0" borderId="24" xfId="1" applyNumberFormat="1" applyFont="1" applyFill="1" applyBorder="1" applyAlignment="1">
      <alignment horizontal="center"/>
    </xf>
    <xf numFmtId="169" fontId="29" fillId="0" borderId="26" xfId="1" applyNumberFormat="1" applyFont="1" applyFill="1" applyBorder="1" applyAlignment="1">
      <alignment horizontal="center"/>
    </xf>
    <xf numFmtId="169" fontId="29" fillId="0" borderId="25" xfId="1" applyNumberFormat="1" applyFont="1" applyFill="1" applyBorder="1" applyAlignment="1">
      <alignment horizontal="center"/>
    </xf>
    <xf numFmtId="169" fontId="29" fillId="0" borderId="38" xfId="1" applyNumberFormat="1" applyFont="1" applyFill="1" applyBorder="1" applyAlignment="1">
      <alignment horizontal="center"/>
    </xf>
    <xf numFmtId="169" fontId="29" fillId="0" borderId="21" xfId="1" applyNumberFormat="1" applyFont="1" applyFill="1" applyBorder="1" applyAlignment="1">
      <alignment horizontal="center"/>
    </xf>
    <xf numFmtId="169" fontId="29" fillId="0" borderId="23" xfId="1" applyNumberFormat="1" applyFont="1" applyFill="1" applyBorder="1" applyAlignment="1">
      <alignment horizontal="center"/>
    </xf>
    <xf numFmtId="169" fontId="29" fillId="0" borderId="22" xfId="1" applyNumberFormat="1" applyFont="1" applyFill="1" applyBorder="1" applyAlignment="1">
      <alignment horizontal="center"/>
    </xf>
    <xf numFmtId="169" fontId="29" fillId="0" borderId="39" xfId="1" applyNumberFormat="1" applyFont="1" applyFill="1" applyBorder="1" applyAlignment="1">
      <alignment horizontal="center"/>
    </xf>
    <xf numFmtId="169" fontId="26" fillId="0" borderId="38" xfId="1" applyNumberFormat="1" applyFont="1" applyFill="1" applyBorder="1"/>
    <xf numFmtId="169" fontId="25" fillId="0" borderId="44" xfId="1" applyNumberFormat="1" applyFont="1" applyFill="1" applyBorder="1"/>
    <xf numFmtId="169" fontId="66" fillId="0" borderId="0" xfId="1" applyNumberFormat="1" applyFont="1" applyFill="1"/>
    <xf numFmtId="169" fontId="25" fillId="0" borderId="40" xfId="1" applyNumberFormat="1" applyFont="1" applyFill="1" applyBorder="1" applyAlignment="1">
      <alignment horizontal="center"/>
    </xf>
    <xf numFmtId="169" fontId="25" fillId="0" borderId="39" xfId="1" applyNumberFormat="1" applyFont="1" applyFill="1" applyBorder="1" applyAlignment="1">
      <alignment horizontal="center"/>
    </xf>
    <xf numFmtId="169" fontId="26" fillId="0" borderId="17" xfId="1" applyNumberFormat="1" applyFont="1" applyFill="1" applyBorder="1" applyAlignment="1">
      <alignment horizontal="right"/>
    </xf>
    <xf numFmtId="169" fontId="26" fillId="0" borderId="0" xfId="1" applyNumberFormat="1" applyFont="1" applyFill="1" applyBorder="1" applyAlignment="1">
      <alignment horizontal="right"/>
    </xf>
    <xf numFmtId="169" fontId="25" fillId="0" borderId="17" xfId="1" applyNumberFormat="1" applyFont="1" applyFill="1" applyBorder="1"/>
    <xf numFmtId="169" fontId="25" fillId="0" borderId="24" xfId="1" applyNumberFormat="1" applyFont="1" applyFill="1" applyBorder="1" applyAlignment="1">
      <alignment horizontal="right"/>
    </xf>
    <xf numFmtId="169" fontId="25" fillId="0" borderId="37" xfId="1" applyNumberFormat="1" applyFont="1" applyFill="1" applyBorder="1"/>
    <xf numFmtId="169" fontId="25" fillId="0" borderId="37" xfId="1" applyNumberFormat="1" applyFont="1" applyFill="1" applyBorder="1" applyAlignment="1">
      <alignment horizontal="right"/>
    </xf>
    <xf numFmtId="169" fontId="23" fillId="0" borderId="0" xfId="1" applyNumberFormat="1" applyFont="1" applyFill="1" applyAlignment="1">
      <alignment horizontal="right"/>
    </xf>
    <xf numFmtId="169" fontId="23" fillId="0" borderId="30" xfId="1" applyNumberFormat="1" applyFont="1" applyFill="1" applyBorder="1" applyAlignment="1">
      <alignment horizontal="left" vertical="top"/>
    </xf>
    <xf numFmtId="169" fontId="24" fillId="0" borderId="29" xfId="1" applyNumberFormat="1" applyFont="1" applyFill="1" applyBorder="1" applyAlignment="1">
      <alignment horizontal="center"/>
    </xf>
    <xf numFmtId="169" fontId="11" fillId="0" borderId="0" xfId="1" applyNumberFormat="1" applyFont="1" applyFill="1"/>
    <xf numFmtId="169" fontId="25" fillId="0" borderId="1" xfId="1" applyNumberFormat="1" applyFont="1" applyFill="1" applyBorder="1"/>
    <xf numFmtId="169" fontId="25" fillId="0" borderId="7" xfId="1" applyNumberFormat="1" applyFont="1" applyFill="1" applyBorder="1" applyAlignment="1">
      <alignment vertical="top"/>
    </xf>
    <xf numFmtId="169" fontId="34" fillId="0" borderId="0" xfId="1" applyNumberFormat="1" applyFont="1" applyFill="1" applyBorder="1" applyAlignment="1">
      <alignment vertical="top" wrapText="1"/>
    </xf>
    <xf numFmtId="169" fontId="34" fillId="0" borderId="8" xfId="1" applyNumberFormat="1" applyFont="1" applyFill="1" applyBorder="1" applyAlignment="1">
      <alignment vertical="top" wrapText="1"/>
    </xf>
    <xf numFmtId="169" fontId="26" fillId="0" borderId="0" xfId="1" applyNumberFormat="1" applyFont="1" applyFill="1" applyBorder="1" applyAlignment="1">
      <alignment vertical="top" wrapText="1"/>
    </xf>
    <xf numFmtId="169" fontId="26" fillId="0" borderId="8" xfId="1" applyNumberFormat="1" applyFont="1" applyFill="1" applyBorder="1" applyAlignment="1">
      <alignment vertical="top" wrapText="1"/>
    </xf>
    <xf numFmtId="169" fontId="26" fillId="0" borderId="1" xfId="1" applyNumberFormat="1" applyFont="1" applyFill="1" applyBorder="1" applyAlignment="1">
      <alignment horizontal="left" vertical="top" wrapText="1"/>
    </xf>
    <xf numFmtId="169" fontId="26" fillId="0" borderId="11" xfId="1" applyNumberFormat="1" applyFont="1" applyFill="1" applyBorder="1" applyAlignment="1">
      <alignment horizontal="left" vertical="top" wrapText="1"/>
    </xf>
    <xf numFmtId="169" fontId="25" fillId="0" borderId="10" xfId="1" applyNumberFormat="1" applyFont="1" applyFill="1" applyBorder="1"/>
    <xf numFmtId="169" fontId="25" fillId="0" borderId="36" xfId="1" applyNumberFormat="1" applyFont="1" applyFill="1" applyBorder="1"/>
    <xf numFmtId="169" fontId="26" fillId="0" borderId="2" xfId="1" applyNumberFormat="1" applyFont="1" applyFill="1" applyBorder="1" applyAlignment="1">
      <alignment horizontal="center"/>
    </xf>
    <xf numFmtId="169" fontId="26" fillId="0" borderId="6" xfId="1" applyNumberFormat="1" applyFont="1" applyFill="1" applyBorder="1" applyAlignment="1">
      <alignment horizontal="left"/>
    </xf>
    <xf numFmtId="169" fontId="26" fillId="0" borderId="1" xfId="1" applyNumberFormat="1" applyFont="1" applyFill="1" applyBorder="1" applyAlignment="1">
      <alignment horizontal="center"/>
    </xf>
    <xf numFmtId="169" fontId="26" fillId="0" borderId="11" xfId="1" applyNumberFormat="1" applyFont="1" applyFill="1" applyBorder="1" applyAlignment="1">
      <alignment horizontal="center"/>
    </xf>
    <xf numFmtId="169" fontId="9" fillId="0" borderId="0" xfId="1" applyNumberFormat="1" applyFont="1" applyFill="1" applyBorder="1" applyAlignment="1">
      <alignment horizontal="left"/>
    </xf>
    <xf numFmtId="169" fontId="25" fillId="0" borderId="29" xfId="1" applyNumberFormat="1" applyFont="1" applyFill="1" applyBorder="1" applyAlignment="1">
      <alignment horizontal="left"/>
    </xf>
    <xf numFmtId="169" fontId="25" fillId="0" borderId="8" xfId="1" applyNumberFormat="1" applyFont="1" applyFill="1" applyBorder="1"/>
    <xf numFmtId="169" fontId="26" fillId="0" borderId="28" xfId="1" quotePrefix="1" applyNumberFormat="1" applyFont="1" applyFill="1" applyBorder="1" applyAlignment="1">
      <alignment horizontal="left"/>
    </xf>
    <xf numFmtId="169" fontId="25" fillId="0" borderId="30" xfId="1" applyNumberFormat="1" applyFont="1" applyFill="1" applyBorder="1" applyAlignment="1">
      <alignment horizontal="left"/>
    </xf>
    <xf numFmtId="169" fontId="32" fillId="0" borderId="5" xfId="1" applyNumberFormat="1" applyFont="1" applyFill="1" applyBorder="1" applyAlignment="1">
      <alignment horizontal="left"/>
    </xf>
    <xf numFmtId="169" fontId="25" fillId="0" borderId="29" xfId="1" applyNumberFormat="1" applyFont="1" applyFill="1" applyBorder="1"/>
    <xf numFmtId="169" fontId="26" fillId="0" borderId="29" xfId="1" applyNumberFormat="1" applyFont="1" applyFill="1" applyBorder="1" applyAlignment="1">
      <alignment horizontal="left"/>
    </xf>
    <xf numFmtId="169" fontId="51" fillId="0" borderId="3" xfId="1" applyNumberFormat="1" applyFont="1" applyFill="1" applyBorder="1"/>
    <xf numFmtId="169" fontId="24" fillId="0" borderId="5" xfId="1" applyNumberFormat="1" applyFont="1" applyFill="1" applyBorder="1" applyAlignment="1">
      <alignment horizontal="left"/>
    </xf>
    <xf numFmtId="169" fontId="24" fillId="0" borderId="29" xfId="1" applyNumberFormat="1" applyFont="1" applyFill="1" applyBorder="1" applyAlignment="1">
      <alignment horizontal="left" indent="3"/>
    </xf>
    <xf numFmtId="169" fontId="24" fillId="0" borderId="7" xfId="1" applyNumberFormat="1" applyFont="1" applyFill="1" applyBorder="1" applyAlignment="1">
      <alignment horizontal="left"/>
    </xf>
    <xf numFmtId="169" fontId="25" fillId="0" borderId="6" xfId="1" applyNumberFormat="1" applyFont="1" applyFill="1" applyBorder="1" applyAlignment="1">
      <alignment horizontal="center"/>
    </xf>
    <xf numFmtId="169" fontId="25" fillId="0" borderId="32" xfId="1" applyNumberFormat="1" applyFont="1" applyFill="1" applyBorder="1" applyAlignment="1">
      <alignment horizontal="center" vertical="center"/>
    </xf>
    <xf numFmtId="169" fontId="22" fillId="0" borderId="0" xfId="1" applyNumberFormat="1" applyFont="1" applyFill="1" applyAlignment="1">
      <alignment horizontal="left"/>
    </xf>
    <xf numFmtId="169" fontId="36" fillId="0" borderId="7" xfId="1" applyNumberFormat="1" applyFont="1" applyFill="1" applyBorder="1" applyAlignment="1">
      <alignment vertical="center"/>
    </xf>
    <xf numFmtId="169" fontId="37" fillId="0" borderId="28" xfId="1" applyNumberFormat="1" applyFont="1" applyFill="1" applyBorder="1" applyAlignment="1">
      <alignment vertical="center" wrapText="1"/>
    </xf>
    <xf numFmtId="169" fontId="37" fillId="0" borderId="7" xfId="1" applyNumberFormat="1" applyFont="1" applyFill="1" applyBorder="1" applyAlignment="1">
      <alignment vertical="center"/>
    </xf>
    <xf numFmtId="169" fontId="37" fillId="0" borderId="28" xfId="1" applyNumberFormat="1" applyFont="1" applyFill="1" applyBorder="1" applyAlignment="1">
      <alignment horizontal="right" vertical="center"/>
    </xf>
    <xf numFmtId="169" fontId="24" fillId="0" borderId="28" xfId="1" applyNumberFormat="1" applyFont="1" applyFill="1" applyBorder="1" applyAlignment="1">
      <alignment horizontal="right" vertical="top"/>
    </xf>
    <xf numFmtId="169" fontId="37" fillId="0" borderId="6" xfId="1" applyNumberFormat="1" applyFont="1" applyFill="1" applyBorder="1" applyAlignment="1">
      <alignment vertical="center"/>
    </xf>
    <xf numFmtId="169" fontId="37" fillId="0" borderId="0" xfId="1" applyNumberFormat="1" applyFont="1" applyFill="1" applyAlignment="1">
      <alignment horizontal="left" vertical="center"/>
    </xf>
    <xf numFmtId="169" fontId="25" fillId="0" borderId="29" xfId="1" applyNumberFormat="1" applyFont="1" applyFill="1" applyBorder="1" applyAlignment="1">
      <alignment horizontal="center" vertical="center" wrapText="1"/>
    </xf>
    <xf numFmtId="169" fontId="25" fillId="0" borderId="9" xfId="1" applyNumberFormat="1" applyFont="1" applyFill="1" applyBorder="1" applyAlignment="1">
      <alignment horizontal="center" vertical="center" wrapText="1"/>
    </xf>
    <xf numFmtId="169" fontId="25" fillId="0" borderId="20" xfId="1" applyNumberFormat="1" applyFont="1" applyFill="1" applyBorder="1" applyAlignment="1">
      <alignment horizontal="center"/>
    </xf>
    <xf numFmtId="169" fontId="25" fillId="0" borderId="20" xfId="1" applyNumberFormat="1" applyFont="1" applyFill="1" applyBorder="1" applyAlignment="1">
      <alignment horizontal="center" vertical="center"/>
    </xf>
    <xf numFmtId="169" fontId="26" fillId="0" borderId="7" xfId="1" applyNumberFormat="1" applyFont="1" applyFill="1" applyBorder="1" applyAlignment="1">
      <alignment horizontal="left"/>
    </xf>
    <xf numFmtId="169" fontId="26" fillId="0" borderId="0" xfId="1" applyNumberFormat="1" applyFont="1" applyFill="1" applyAlignment="1">
      <alignment horizontal="center"/>
    </xf>
    <xf numFmtId="169" fontId="26" fillId="0" borderId="7" xfId="1" applyNumberFormat="1" applyFont="1" applyFill="1" applyBorder="1" applyAlignment="1">
      <alignment horizontal="left" wrapText="1"/>
    </xf>
    <xf numFmtId="169" fontId="26" fillId="0" borderId="0" xfId="1" applyNumberFormat="1" applyFont="1" applyFill="1" applyBorder="1" applyAlignment="1">
      <alignment horizontal="left" wrapText="1"/>
    </xf>
    <xf numFmtId="169" fontId="25" fillId="0" borderId="19" xfId="1" applyNumberFormat="1" applyFont="1" applyFill="1" applyBorder="1" applyAlignment="1">
      <alignment horizontal="center" vertical="center"/>
    </xf>
    <xf numFmtId="169" fontId="26" fillId="0" borderId="8" xfId="1" applyNumberFormat="1" applyFont="1" applyFill="1" applyBorder="1" applyAlignment="1">
      <alignment horizontal="left" wrapText="1"/>
    </xf>
    <xf numFmtId="169" fontId="25" fillId="0" borderId="19" xfId="1" applyNumberFormat="1" applyFont="1" applyFill="1" applyBorder="1" applyAlignment="1">
      <alignment horizontal="center" vertical="center" wrapText="1"/>
    </xf>
    <xf numFmtId="169" fontId="26" fillId="0" borderId="8" xfId="1" applyNumberFormat="1" applyFont="1" applyFill="1" applyBorder="1" applyAlignment="1">
      <alignment horizontal="right" vertical="center"/>
    </xf>
    <xf numFmtId="169" fontId="23" fillId="0" borderId="30" xfId="1" applyNumberFormat="1" applyFont="1" applyFill="1" applyBorder="1" applyAlignment="1">
      <alignment horizontal="center" vertical="center"/>
    </xf>
    <xf numFmtId="169" fontId="26" fillId="0" borderId="7" xfId="1" applyNumberFormat="1" applyFont="1" applyFill="1" applyBorder="1" applyAlignment="1">
      <alignment horizontal="left" vertical="top" wrapText="1"/>
    </xf>
    <xf numFmtId="169" fontId="26" fillId="0" borderId="0" xfId="1" applyNumberFormat="1" applyFont="1" applyFill="1" applyBorder="1" applyAlignment="1">
      <alignment horizontal="left" vertical="top" wrapText="1"/>
    </xf>
    <xf numFmtId="169" fontId="26" fillId="0" borderId="8" xfId="1" applyNumberFormat="1" applyFont="1" applyFill="1" applyBorder="1" applyAlignment="1">
      <alignment horizontal="left" vertical="top" wrapText="1"/>
    </xf>
    <xf numFmtId="169" fontId="23" fillId="0" borderId="0" xfId="1" applyNumberFormat="1" applyFont="1" applyFill="1" applyAlignment="1">
      <alignment horizontal="left" vertical="top"/>
    </xf>
    <xf numFmtId="169" fontId="23" fillId="0" borderId="19" xfId="1" applyNumberFormat="1" applyFont="1" applyFill="1" applyBorder="1" applyAlignment="1">
      <alignment vertical="center"/>
    </xf>
    <xf numFmtId="169" fontId="25" fillId="0" borderId="0" xfId="1" applyNumberFormat="1" applyFont="1" applyFill="1" applyAlignment="1">
      <alignment horizontal="left"/>
    </xf>
    <xf numFmtId="169" fontId="25" fillId="0" borderId="19" xfId="1" applyNumberFormat="1" applyFont="1" applyFill="1" applyBorder="1" applyAlignment="1">
      <alignment horizontal="center"/>
    </xf>
    <xf numFmtId="169" fontId="25" fillId="0" borderId="7" xfId="1" applyNumberFormat="1" applyFont="1" applyFill="1" applyBorder="1" applyAlignment="1">
      <alignment horizontal="left"/>
    </xf>
    <xf numFmtId="169" fontId="23" fillId="0" borderId="7" xfId="1" applyNumberFormat="1" applyFont="1" applyFill="1" applyBorder="1"/>
    <xf numFmtId="169" fontId="33" fillId="0" borderId="7" xfId="1" applyNumberFormat="1" applyFont="1" applyFill="1" applyBorder="1"/>
    <xf numFmtId="169" fontId="33" fillId="0" borderId="0" xfId="1" applyNumberFormat="1" applyFont="1" applyFill="1"/>
    <xf numFmtId="169" fontId="33" fillId="0" borderId="28" xfId="1" applyNumberFormat="1" applyFont="1" applyFill="1" applyBorder="1"/>
    <xf numFmtId="169" fontId="20" fillId="0" borderId="28" xfId="1" applyNumberFormat="1" applyFont="1" applyFill="1" applyBorder="1" applyAlignment="1">
      <alignment horizontal="right"/>
    </xf>
    <xf numFmtId="169" fontId="33" fillId="0" borderId="0" xfId="1" applyNumberFormat="1" applyFont="1" applyFill="1" applyBorder="1"/>
    <xf numFmtId="169" fontId="30" fillId="0" borderId="8" xfId="1" applyNumberFormat="1" applyFont="1" applyFill="1" applyBorder="1" applyAlignment="1">
      <alignment horizontal="center"/>
    </xf>
    <xf numFmtId="169" fontId="19" fillId="0" borderId="8" xfId="1" applyNumberFormat="1" applyFont="1" applyFill="1" applyBorder="1" applyAlignment="1">
      <alignment horizontal="center"/>
    </xf>
    <xf numFmtId="169" fontId="26" fillId="0" borderId="2" xfId="1" applyNumberFormat="1" applyFont="1" applyFill="1" applyBorder="1" applyAlignment="1">
      <alignment horizontal="left"/>
    </xf>
    <xf numFmtId="169" fontId="30" fillId="0" borderId="0" xfId="1" applyNumberFormat="1" applyFont="1" applyFill="1"/>
    <xf numFmtId="169" fontId="25" fillId="0" borderId="0" xfId="1" applyNumberFormat="1" applyFont="1" applyFill="1" applyAlignment="1">
      <alignment vertical="center" wrapText="1"/>
    </xf>
    <xf numFmtId="169" fontId="26" fillId="0" borderId="0" xfId="1" applyNumberFormat="1" applyFont="1" applyFill="1" applyAlignment="1">
      <alignment horizontal="right"/>
    </xf>
    <xf numFmtId="169" fontId="25" fillId="0" borderId="13" xfId="1" applyNumberFormat="1" applyFont="1" applyFill="1" applyBorder="1" applyAlignment="1">
      <alignment horizontal="right"/>
    </xf>
    <xf numFmtId="169" fontId="25" fillId="0" borderId="9" xfId="1" applyNumberFormat="1" applyFont="1" applyFill="1" applyBorder="1" applyAlignment="1">
      <alignment horizontal="right"/>
    </xf>
    <xf numFmtId="169" fontId="25" fillId="0" borderId="28" xfId="1" applyNumberFormat="1" applyFont="1" applyFill="1" applyBorder="1" applyAlignment="1">
      <alignment vertical="top" wrapText="1"/>
    </xf>
    <xf numFmtId="169" fontId="26" fillId="0" borderId="14" xfId="1" applyNumberFormat="1" applyFont="1" applyFill="1" applyBorder="1" applyAlignment="1">
      <alignment horizontal="right"/>
    </xf>
    <xf numFmtId="169" fontId="25" fillId="0" borderId="0" xfId="1" applyNumberFormat="1" applyFont="1" applyFill="1" applyAlignment="1">
      <alignment vertical="top" wrapText="1"/>
    </xf>
    <xf numFmtId="169" fontId="26" fillId="0" borderId="8" xfId="1" applyNumberFormat="1" applyFont="1" applyFill="1" applyBorder="1" applyAlignment="1">
      <alignment horizontal="center" vertical="center" wrapText="1"/>
    </xf>
    <xf numFmtId="169" fontId="20" fillId="0" borderId="0" xfId="1" applyNumberFormat="1" applyFont="1" applyFill="1" applyBorder="1"/>
    <xf numFmtId="169" fontId="20" fillId="0" borderId="1" xfId="1" applyNumberFormat="1" applyFont="1" applyFill="1" applyBorder="1"/>
    <xf numFmtId="169" fontId="26" fillId="0" borderId="1" xfId="1" applyNumberFormat="1" applyFont="1" applyFill="1" applyBorder="1"/>
    <xf numFmtId="169" fontId="26" fillId="0" borderId="11" xfId="1" applyNumberFormat="1" applyFont="1" applyFill="1" applyBorder="1"/>
    <xf numFmtId="169" fontId="20" fillId="0" borderId="0" xfId="1" applyNumberFormat="1" applyFont="1" applyFill="1" applyAlignment="1">
      <alignment horizontal="center" wrapText="1"/>
    </xf>
    <xf numFmtId="169" fontId="14" fillId="0" borderId="0" xfId="1" applyNumberFormat="1" applyFont="1" applyFill="1" applyAlignment="1">
      <alignment horizontal="right"/>
    </xf>
    <xf numFmtId="169" fontId="13" fillId="0" borderId="0" xfId="1" applyNumberFormat="1" applyFont="1" applyFill="1" applyAlignment="1">
      <alignment horizontal="left" vertical="top" wrapText="1"/>
    </xf>
    <xf numFmtId="0" fontId="11" fillId="0" borderId="0" xfId="0" applyFont="1"/>
    <xf numFmtId="0" fontId="57" fillId="0" borderId="0" xfId="0" applyFont="1" applyAlignment="1">
      <alignment vertical="center"/>
    </xf>
    <xf numFmtId="0" fontId="57" fillId="0" borderId="0" xfId="0" applyFont="1" applyAlignment="1">
      <alignment vertical="center" wrapText="1"/>
    </xf>
    <xf numFmtId="0" fontId="23" fillId="0" borderId="16" xfId="0" applyFont="1" applyBorder="1"/>
    <xf numFmtId="0" fontId="57" fillId="0" borderId="16" xfId="0" applyFont="1" applyBorder="1" applyAlignment="1">
      <alignment vertical="center" wrapText="1"/>
    </xf>
    <xf numFmtId="0" fontId="22" fillId="0" borderId="0" xfId="0" applyFont="1"/>
    <xf numFmtId="0" fontId="26" fillId="0" borderId="0" xfId="0" applyFont="1" applyAlignment="1">
      <alignment horizontal="left"/>
    </xf>
    <xf numFmtId="0" fontId="23" fillId="0" borderId="0" xfId="0" applyFont="1"/>
    <xf numFmtId="2" fontId="26" fillId="0" borderId="0" xfId="0" applyNumberFormat="1" applyFont="1"/>
    <xf numFmtId="0" fontId="23" fillId="0" borderId="0" xfId="0" applyFont="1" applyAlignment="1">
      <alignment horizontal="center"/>
    </xf>
    <xf numFmtId="2" fontId="26" fillId="0" borderId="0" xfId="0" applyNumberFormat="1" applyFont="1" applyAlignment="1">
      <alignment horizontal="left"/>
    </xf>
    <xf numFmtId="0" fontId="23" fillId="0" borderId="0" xfId="0" applyFont="1" applyAlignment="1">
      <alignment horizontal="left"/>
    </xf>
    <xf numFmtId="0" fontId="24" fillId="0" borderId="0" xfId="0" applyFont="1" applyAlignment="1">
      <alignment horizontal="center"/>
    </xf>
    <xf numFmtId="0" fontId="26" fillId="0" borderId="0" xfId="0" applyFont="1" applyAlignment="1">
      <alignment vertical="top" wrapText="1"/>
    </xf>
    <xf numFmtId="0" fontId="30" fillId="0" borderId="0" xfId="0" applyFont="1" applyAlignment="1">
      <alignment vertical="top" wrapText="1"/>
    </xf>
    <xf numFmtId="0" fontId="26" fillId="0" borderId="0" xfId="0" applyFont="1" applyAlignment="1">
      <alignment horizontal="center"/>
    </xf>
    <xf numFmtId="168" fontId="26" fillId="0" borderId="0" xfId="1" applyFont="1" applyFill="1" applyBorder="1" applyAlignment="1">
      <alignment horizontal="left"/>
    </xf>
    <xf numFmtId="168" fontId="26" fillId="0" borderId="0" xfId="0" applyNumberFormat="1" applyFont="1" applyAlignment="1">
      <alignment horizontal="left"/>
    </xf>
    <xf numFmtId="0" fontId="23" fillId="0" borderId="0" xfId="0" applyFont="1" applyAlignment="1">
      <alignment horizontal="left" vertical="center"/>
    </xf>
    <xf numFmtId="0" fontId="24" fillId="0" borderId="0" xfId="0" applyFont="1" applyAlignment="1">
      <alignment vertical="top" wrapText="1"/>
    </xf>
    <xf numFmtId="0" fontId="24" fillId="0" borderId="0" xfId="0" applyFont="1" applyAlignment="1">
      <alignment horizontal="center" vertical="top"/>
    </xf>
    <xf numFmtId="0" fontId="24" fillId="0" borderId="0" xfId="0" applyFont="1" applyAlignment="1">
      <alignment horizontal="left" vertical="top" wrapText="1"/>
    </xf>
    <xf numFmtId="0" fontId="23" fillId="0" borderId="0" xfId="0" applyFont="1" applyAlignment="1">
      <alignment horizontal="left" vertical="top"/>
    </xf>
    <xf numFmtId="0" fontId="23" fillId="0" borderId="0" xfId="0" applyFont="1" applyAlignment="1">
      <alignment horizontal="left" vertical="top" wrapText="1"/>
    </xf>
    <xf numFmtId="49" fontId="24" fillId="0" borderId="0" xfId="0" applyNumberFormat="1" applyFont="1" applyAlignment="1">
      <alignment horizontal="center"/>
    </xf>
    <xf numFmtId="0" fontId="24" fillId="0" borderId="0" xfId="0" applyFont="1" applyAlignment="1">
      <alignment vertical="center" wrapText="1"/>
    </xf>
    <xf numFmtId="0" fontId="24" fillId="0" borderId="0" xfId="0" applyFont="1" applyAlignment="1">
      <alignment horizontal="left" vertical="center" wrapText="1"/>
    </xf>
    <xf numFmtId="2" fontId="24" fillId="0" borderId="0" xfId="0" applyNumberFormat="1" applyFont="1" applyAlignment="1">
      <alignment horizontal="center"/>
    </xf>
    <xf numFmtId="0" fontId="24" fillId="0" borderId="0" xfId="0" applyFont="1" applyAlignment="1">
      <alignment horizontal="left"/>
    </xf>
    <xf numFmtId="0" fontId="23" fillId="0" borderId="19" xfId="0" applyFont="1" applyBorder="1" applyAlignment="1">
      <alignment horizontal="center" vertical="center"/>
    </xf>
    <xf numFmtId="173" fontId="26" fillId="0" borderId="19" xfId="4" applyNumberFormat="1" applyFont="1" applyFill="1" applyBorder="1" applyAlignment="1">
      <alignment horizontal="center" vertical="center"/>
    </xf>
    <xf numFmtId="0" fontId="26" fillId="0" borderId="20" xfId="0" applyFont="1" applyBorder="1" applyAlignment="1">
      <alignment horizontal="left" vertical="center"/>
    </xf>
    <xf numFmtId="0" fontId="26" fillId="0" borderId="4" xfId="0" applyFont="1" applyBorder="1" applyAlignment="1">
      <alignment horizontal="left" vertical="center"/>
    </xf>
    <xf numFmtId="0" fontId="26" fillId="0" borderId="12" xfId="0" applyFont="1" applyBorder="1" applyAlignment="1">
      <alignment horizontal="left" vertical="center"/>
    </xf>
    <xf numFmtId="0" fontId="11" fillId="0" borderId="0" xfId="0" applyFont="1" applyAlignment="1">
      <alignment vertical="center"/>
    </xf>
    <xf numFmtId="0" fontId="24" fillId="0" borderId="0" xfId="0" applyFont="1"/>
    <xf numFmtId="0" fontId="26" fillId="0" borderId="0" xfId="0" applyFont="1" applyAlignment="1">
      <alignment horizontal="left" vertical="center"/>
    </xf>
    <xf numFmtId="173" fontId="26" fillId="0" borderId="0" xfId="4" applyNumberFormat="1" applyFont="1" applyFill="1" applyBorder="1" applyAlignment="1">
      <alignment horizontal="center" vertical="center"/>
    </xf>
    <xf numFmtId="0" fontId="26" fillId="0" borderId="0" xfId="0" applyFont="1" applyAlignment="1">
      <alignment horizontal="center" vertical="center" wrapText="1"/>
    </xf>
    <xf numFmtId="0" fontId="24" fillId="0" borderId="0" xfId="0" applyFont="1" applyAlignment="1">
      <alignment horizontal="left" vertical="center"/>
    </xf>
    <xf numFmtId="0" fontId="24" fillId="0" borderId="0" xfId="0" applyFont="1" applyAlignment="1">
      <alignment wrapText="1"/>
    </xf>
    <xf numFmtId="0" fontId="24" fillId="0" borderId="0" xfId="0" applyFont="1" applyAlignment="1">
      <alignment horizontal="left" wrapText="1"/>
    </xf>
    <xf numFmtId="0" fontId="31" fillId="0" borderId="0" xfId="0" applyFont="1"/>
    <xf numFmtId="0" fontId="31" fillId="0" borderId="0" xfId="0" applyFont="1" applyAlignment="1">
      <alignment horizontal="left"/>
    </xf>
    <xf numFmtId="0" fontId="18" fillId="0" borderId="0" xfId="0" applyFont="1" applyAlignment="1">
      <alignment horizontal="left"/>
    </xf>
    <xf numFmtId="0" fontId="18" fillId="0" borderId="0" xfId="0" applyFont="1" applyAlignment="1">
      <alignment horizontal="left" vertical="center"/>
    </xf>
    <xf numFmtId="0" fontId="25" fillId="0" borderId="0" xfId="0" applyFont="1"/>
    <xf numFmtId="0" fontId="26" fillId="0" borderId="0" xfId="0" applyFont="1" applyAlignment="1">
      <alignment horizontal="right"/>
    </xf>
    <xf numFmtId="0" fontId="11" fillId="0" borderId="16" xfId="0" applyFont="1" applyBorder="1"/>
    <xf numFmtId="0" fontId="22" fillId="0" borderId="0" xfId="0" applyFont="1" applyAlignment="1">
      <alignment horizontal="center"/>
    </xf>
    <xf numFmtId="0" fontId="23" fillId="0" borderId="0" xfId="0" applyFont="1" applyAlignment="1">
      <alignment horizontal="center" vertical="top"/>
    </xf>
    <xf numFmtId="0" fontId="25" fillId="0" borderId="0" xfId="0" applyFont="1" applyAlignment="1">
      <alignment horizontal="right"/>
    </xf>
    <xf numFmtId="0" fontId="11" fillId="0" borderId="1" xfId="0" applyFont="1" applyBorder="1"/>
    <xf numFmtId="169" fontId="23" fillId="0" borderId="0" xfId="1" applyNumberFormat="1" applyFont="1" applyFill="1" applyAlignment="1">
      <alignment horizontal="left" vertical="top" wrapText="1"/>
    </xf>
    <xf numFmtId="0" fontId="23" fillId="0" borderId="0" xfId="0" applyFont="1" applyAlignment="1">
      <alignment horizontal="left" wrapText="1"/>
    </xf>
    <xf numFmtId="2" fontId="24" fillId="0" borderId="0" xfId="1" applyNumberFormat="1" applyFont="1" applyFill="1" applyBorder="1" applyAlignment="1">
      <alignment horizontal="center" vertical="center"/>
    </xf>
    <xf numFmtId="169" fontId="26" fillId="0" borderId="8" xfId="1" applyNumberFormat="1" applyFont="1" applyFill="1" applyBorder="1" applyAlignment="1" applyProtection="1"/>
    <xf numFmtId="169" fontId="26" fillId="0" borderId="30" xfId="1" applyNumberFormat="1" applyFont="1" applyFill="1" applyBorder="1" applyAlignment="1" applyProtection="1"/>
    <xf numFmtId="169" fontId="26" fillId="0" borderId="30" xfId="1" applyNumberFormat="1" applyFont="1" applyFill="1" applyBorder="1" applyAlignment="1">
      <alignment horizontal="right" vertical="center"/>
    </xf>
    <xf numFmtId="169" fontId="26" fillId="0" borderId="18" xfId="1" applyNumberFormat="1" applyFont="1" applyFill="1" applyBorder="1" applyAlignment="1">
      <alignment horizontal="right"/>
    </xf>
    <xf numFmtId="169" fontId="25" fillId="0" borderId="41" xfId="1" applyNumberFormat="1" applyFont="1" applyFill="1" applyBorder="1" applyAlignment="1">
      <alignment horizontal="right"/>
    </xf>
    <xf numFmtId="169" fontId="23" fillId="0" borderId="30" xfId="1" applyNumberFormat="1" applyFont="1" applyFill="1" applyBorder="1" applyAlignment="1">
      <alignment horizontal="center" vertical="center" wrapText="1"/>
    </xf>
    <xf numFmtId="169" fontId="26" fillId="0" borderId="9" xfId="1" applyNumberFormat="1" applyFont="1" applyFill="1" applyBorder="1"/>
    <xf numFmtId="169" fontId="25" fillId="0" borderId="9" xfId="1" applyNumberFormat="1" applyFont="1" applyFill="1" applyBorder="1"/>
    <xf numFmtId="169" fontId="27" fillId="0" borderId="30" xfId="1" applyNumberFormat="1" applyFont="1" applyFill="1" applyBorder="1" applyAlignment="1"/>
    <xf numFmtId="169" fontId="35" fillId="0" borderId="29" xfId="1" applyNumberFormat="1" applyFont="1" applyFill="1" applyBorder="1" applyAlignment="1"/>
    <xf numFmtId="169" fontId="35" fillId="0" borderId="28" xfId="1" applyNumberFormat="1" applyFont="1" applyFill="1" applyBorder="1" applyAlignment="1"/>
    <xf numFmtId="169" fontId="27" fillId="0" borderId="28" xfId="1" applyNumberFormat="1" applyFont="1" applyFill="1" applyBorder="1" applyAlignment="1"/>
    <xf numFmtId="169" fontId="35" fillId="0" borderId="19" xfId="1" applyNumberFormat="1" applyFont="1" applyFill="1" applyBorder="1" applyAlignment="1"/>
    <xf numFmtId="166" fontId="25" fillId="0" borderId="19" xfId="1" applyNumberFormat="1" applyFont="1" applyFill="1" applyBorder="1" applyAlignment="1">
      <alignment horizontal="center" vertical="center" wrapText="1"/>
    </xf>
    <xf numFmtId="166" fontId="25" fillId="0" borderId="12" xfId="1" applyNumberFormat="1" applyFont="1" applyFill="1" applyBorder="1" applyAlignment="1">
      <alignment horizontal="center" vertical="center" wrapText="1"/>
    </xf>
    <xf numFmtId="168" fontId="26" fillId="0" borderId="0" xfId="1" applyFont="1" applyFill="1"/>
    <xf numFmtId="168" fontId="26" fillId="0" borderId="0" xfId="1" applyFont="1" applyFill="1" applyBorder="1" applyAlignment="1">
      <alignment horizontal="center"/>
    </xf>
    <xf numFmtId="168" fontId="26" fillId="0" borderId="0" xfId="1" applyFont="1" applyFill="1" applyBorder="1"/>
    <xf numFmtId="169" fontId="26" fillId="0" borderId="19" xfId="1" applyNumberFormat="1" applyFont="1" applyFill="1" applyBorder="1" applyAlignment="1">
      <alignment horizontal="right"/>
    </xf>
    <xf numFmtId="169" fontId="26" fillId="0" borderId="19" xfId="1" applyNumberFormat="1" applyFont="1" applyFill="1" applyBorder="1" applyAlignment="1">
      <alignment vertical="center"/>
    </xf>
    <xf numFmtId="169" fontId="25" fillId="0" borderId="28" xfId="1" applyNumberFormat="1" applyFont="1" applyFill="1" applyBorder="1"/>
    <xf numFmtId="169" fontId="0" fillId="0" borderId="0" xfId="1" applyNumberFormat="1" applyFont="1" applyFill="1" applyBorder="1"/>
    <xf numFmtId="169" fontId="25" fillId="0" borderId="7" xfId="1" applyNumberFormat="1" applyFont="1" applyFill="1" applyBorder="1"/>
    <xf numFmtId="169" fontId="11" fillId="0" borderId="20" xfId="1" applyNumberFormat="1" applyFont="1" applyFill="1" applyBorder="1"/>
    <xf numFmtId="169" fontId="26" fillId="0" borderId="4" xfId="1" applyNumberFormat="1" applyFont="1" applyFill="1" applyBorder="1"/>
    <xf numFmtId="0" fontId="24" fillId="0" borderId="0" xfId="0" applyFont="1" applyAlignment="1">
      <alignment horizontal="center" vertical="center" wrapText="1"/>
    </xf>
    <xf numFmtId="169" fontId="26" fillId="0" borderId="0" xfId="1" applyNumberFormat="1" applyFont="1" applyFill="1" applyBorder="1" applyAlignment="1">
      <alignment horizontal="center" vertical="center"/>
    </xf>
    <xf numFmtId="10" fontId="26" fillId="0" borderId="0" xfId="35" applyNumberFormat="1" applyFont="1" applyFill="1" applyBorder="1" applyAlignment="1">
      <alignment horizontal="center" vertical="center"/>
    </xf>
    <xf numFmtId="10" fontId="26" fillId="0" borderId="0" xfId="35" applyNumberFormat="1" applyFont="1" applyFill="1" applyBorder="1" applyAlignment="1">
      <alignment horizontal="center" vertical="center" wrapText="1"/>
    </xf>
    <xf numFmtId="9" fontId="26" fillId="0" borderId="0" xfId="35" applyFont="1" applyFill="1" applyBorder="1" applyAlignment="1">
      <alignment horizontal="center" vertical="center" wrapText="1"/>
    </xf>
    <xf numFmtId="169" fontId="26" fillId="0" borderId="28" xfId="1" applyNumberFormat="1" applyFont="1" applyFill="1" applyBorder="1" applyAlignment="1">
      <alignment wrapText="1"/>
    </xf>
    <xf numFmtId="169" fontId="26" fillId="0" borderId="0" xfId="1" applyNumberFormat="1" applyFont="1" applyFill="1" applyBorder="1" applyAlignment="1">
      <alignment horizontal="center"/>
    </xf>
    <xf numFmtId="10" fontId="24" fillId="0" borderId="19" xfId="35" applyNumberFormat="1" applyFont="1" applyFill="1" applyBorder="1" applyAlignment="1">
      <alignment horizontal="center"/>
    </xf>
    <xf numFmtId="168" fontId="24" fillId="0" borderId="19" xfId="1" applyFont="1" applyFill="1" applyBorder="1" applyAlignment="1">
      <alignment horizontal="right"/>
    </xf>
    <xf numFmtId="10" fontId="24" fillId="0" borderId="19" xfId="35" applyNumberFormat="1" applyFont="1" applyFill="1" applyBorder="1" applyAlignment="1">
      <alignment horizontal="right"/>
    </xf>
    <xf numFmtId="169" fontId="24" fillId="0" borderId="19" xfId="1" applyNumberFormat="1" applyFont="1" applyFill="1" applyBorder="1" applyAlignment="1">
      <alignment horizontal="right"/>
    </xf>
    <xf numFmtId="169" fontId="37" fillId="0" borderId="0" xfId="1" applyNumberFormat="1" applyFont="1" applyFill="1" applyBorder="1" applyAlignment="1">
      <alignment horizontal="center" vertical="center"/>
    </xf>
    <xf numFmtId="169" fontId="37" fillId="0" borderId="0" xfId="1" applyNumberFormat="1" applyFont="1" applyFill="1" applyBorder="1" applyAlignment="1">
      <alignment horizontal="center" vertical="center" wrapText="1"/>
    </xf>
    <xf numFmtId="169" fontId="24" fillId="0" borderId="0" xfId="1" applyNumberFormat="1" applyFont="1" applyFill="1" applyBorder="1" applyAlignment="1">
      <alignment horizontal="right"/>
    </xf>
    <xf numFmtId="169" fontId="24" fillId="0" borderId="0" xfId="1" applyNumberFormat="1" applyFont="1" applyFill="1" applyBorder="1" applyAlignment="1">
      <alignment horizontal="center"/>
    </xf>
    <xf numFmtId="169" fontId="23" fillId="0" borderId="0" xfId="1" applyNumberFormat="1" applyFont="1" applyFill="1" applyBorder="1" applyAlignment="1">
      <alignment horizontal="center"/>
    </xf>
    <xf numFmtId="169" fontId="37" fillId="0" borderId="0" xfId="1" applyNumberFormat="1" applyFont="1" applyFill="1" applyBorder="1" applyAlignment="1">
      <alignment horizontal="left" vertical="center"/>
    </xf>
    <xf numFmtId="169" fontId="20" fillId="0" borderId="0" xfId="1" applyNumberFormat="1" applyFont="1" applyFill="1" applyAlignment="1">
      <alignment wrapText="1"/>
    </xf>
    <xf numFmtId="169" fontId="20" fillId="0" borderId="0" xfId="1" applyNumberFormat="1" applyFont="1" applyFill="1" applyAlignment="1">
      <alignment vertical="top" wrapText="1"/>
    </xf>
    <xf numFmtId="169" fontId="20" fillId="0" borderId="0" xfId="1" applyNumberFormat="1" applyFont="1" applyFill="1" applyAlignment="1">
      <alignment horizontal="center" vertical="top" wrapText="1"/>
    </xf>
    <xf numFmtId="169" fontId="20" fillId="0" borderId="0" xfId="1" applyNumberFormat="1" applyFont="1" applyFill="1"/>
    <xf numFmtId="169" fontId="20" fillId="0" borderId="0" xfId="1" applyNumberFormat="1" applyFont="1" applyFill="1" applyAlignment="1">
      <alignment vertical="top"/>
    </xf>
    <xf numFmtId="169" fontId="20" fillId="0" borderId="0" xfId="1" applyNumberFormat="1" applyFont="1" applyFill="1" applyAlignment="1">
      <alignment horizontal="center" vertical="top"/>
    </xf>
    <xf numFmtId="169" fontId="20" fillId="0" borderId="0" xfId="1" applyNumberFormat="1" applyFont="1" applyFill="1" applyAlignment="1">
      <alignment horizontal="center"/>
    </xf>
    <xf numFmtId="169" fontId="33" fillId="0" borderId="4" xfId="1" applyNumberFormat="1" applyFont="1" applyFill="1" applyBorder="1" applyAlignment="1">
      <alignment horizontal="center"/>
    </xf>
    <xf numFmtId="169" fontId="20" fillId="0" borderId="0" xfId="1" applyNumberFormat="1" applyFont="1" applyFill="1" applyAlignment="1">
      <alignment horizontal="center" vertical="center"/>
    </xf>
    <xf numFmtId="169" fontId="33" fillId="0" borderId="0" xfId="1" applyNumberFormat="1" applyFont="1" applyFill="1" applyBorder="1" applyAlignment="1">
      <alignment horizontal="center"/>
    </xf>
    <xf numFmtId="169" fontId="67" fillId="0" borderId="0" xfId="1" applyNumberFormat="1" applyFont="1" applyFill="1" applyAlignment="1">
      <alignment horizontal="left" vertical="center"/>
    </xf>
    <xf numFmtId="169" fontId="33" fillId="0" borderId="0" xfId="1" applyNumberFormat="1" applyFont="1" applyFill="1" applyAlignment="1">
      <alignment horizontal="right"/>
    </xf>
    <xf numFmtId="169" fontId="33" fillId="0" borderId="22" xfId="1" applyNumberFormat="1" applyFont="1" applyFill="1" applyBorder="1" applyAlignment="1">
      <alignment horizontal="center"/>
    </xf>
    <xf numFmtId="169" fontId="33" fillId="0" borderId="0" xfId="1" applyNumberFormat="1" applyFont="1" applyFill="1" applyAlignment="1">
      <alignment horizontal="center" vertical="center"/>
    </xf>
    <xf numFmtId="169" fontId="33" fillId="0" borderId="0" xfId="1" applyNumberFormat="1" applyFont="1" applyFill="1" applyAlignment="1">
      <alignment horizontal="center"/>
    </xf>
    <xf numFmtId="169" fontId="20" fillId="0" borderId="0" xfId="1" applyNumberFormat="1" applyFont="1" applyFill="1" applyAlignment="1">
      <alignment vertical="center"/>
    </xf>
    <xf numFmtId="169" fontId="20" fillId="0" borderId="0" xfId="1" applyNumberFormat="1" applyFont="1" applyFill="1" applyAlignment="1">
      <alignment horizontal="center" vertical="center" wrapText="1"/>
    </xf>
    <xf numFmtId="169" fontId="20" fillId="0" borderId="0" xfId="1" applyNumberFormat="1" applyFont="1" applyFill="1" applyAlignment="1">
      <alignment vertical="center" wrapText="1"/>
    </xf>
    <xf numFmtId="169" fontId="68" fillId="0" borderId="0" xfId="1" applyNumberFormat="1" applyFont="1" applyFill="1"/>
    <xf numFmtId="169" fontId="33" fillId="0" borderId="15" xfId="1" applyNumberFormat="1" applyFont="1" applyFill="1" applyBorder="1"/>
    <xf numFmtId="169" fontId="20" fillId="0" borderId="16" xfId="1" applyNumberFormat="1" applyFont="1" applyFill="1" applyBorder="1"/>
    <xf numFmtId="169" fontId="20" fillId="0" borderId="16" xfId="1" applyNumberFormat="1" applyFont="1" applyFill="1" applyBorder="1" applyAlignment="1">
      <alignment horizontal="center"/>
    </xf>
    <xf numFmtId="169" fontId="67" fillId="0" borderId="0" xfId="1" applyNumberFormat="1" applyFont="1" applyFill="1" applyAlignment="1">
      <alignment horizontal="center" vertical="center"/>
    </xf>
    <xf numFmtId="169" fontId="23" fillId="0" borderId="0" xfId="1" applyNumberFormat="1" applyFont="1" applyFill="1" applyBorder="1" applyAlignment="1">
      <alignment horizontal="left"/>
    </xf>
    <xf numFmtId="169" fontId="24" fillId="0" borderId="28" xfId="1" applyNumberFormat="1" applyFont="1" applyFill="1" applyBorder="1" applyAlignment="1">
      <alignment horizontal="left" indent="3"/>
    </xf>
    <xf numFmtId="0" fontId="21" fillId="0" borderId="0" xfId="0" applyFont="1" applyAlignment="1">
      <alignment horizontal="center"/>
    </xf>
    <xf numFmtId="0" fontId="25" fillId="0" borderId="0" xfId="0" applyFont="1" applyAlignment="1">
      <alignment horizontal="center"/>
    </xf>
    <xf numFmtId="0" fontId="26" fillId="0" borderId="5" xfId="0" applyFont="1" applyBorder="1"/>
    <xf numFmtId="0" fontId="26" fillId="0" borderId="29" xfId="0" applyFont="1" applyBorder="1"/>
    <xf numFmtId="0" fontId="26" fillId="0" borderId="9" xfId="0" applyFont="1" applyBorder="1"/>
    <xf numFmtId="0" fontId="25" fillId="0" borderId="7" xfId="0" applyFont="1" applyBorder="1"/>
    <xf numFmtId="0" fontId="26" fillId="0" borderId="28" xfId="0" applyFont="1" applyBorder="1"/>
    <xf numFmtId="0" fontId="26" fillId="0" borderId="8" xfId="0" applyFont="1" applyBorder="1"/>
    <xf numFmtId="0" fontId="26" fillId="0" borderId="7" xfId="0" applyFont="1" applyBorder="1"/>
    <xf numFmtId="169" fontId="26" fillId="0" borderId="0" xfId="0" applyNumberFormat="1" applyFont="1"/>
    <xf numFmtId="0" fontId="25" fillId="0" borderId="28" xfId="0" applyFont="1" applyBorder="1"/>
    <xf numFmtId="164" fontId="26" fillId="0" borderId="0" xfId="0" applyNumberFormat="1" applyFont="1"/>
    <xf numFmtId="0" fontId="25" fillId="0" borderId="30" xfId="0" applyFont="1" applyBorder="1"/>
    <xf numFmtId="0" fontId="25" fillId="0" borderId="20" xfId="0" applyFont="1" applyBorder="1"/>
    <xf numFmtId="0" fontId="26" fillId="0" borderId="19" xfId="0" applyFont="1" applyBorder="1"/>
    <xf numFmtId="168" fontId="26" fillId="0" borderId="0" xfId="0" applyNumberFormat="1" applyFont="1"/>
    <xf numFmtId="0" fontId="25" fillId="0" borderId="0" xfId="0" applyFont="1" applyAlignment="1">
      <alignment horizontal="left"/>
    </xf>
    <xf numFmtId="0" fontId="25" fillId="0" borderId="0" xfId="0" applyFont="1" applyAlignment="1">
      <alignment vertical="center" wrapText="1"/>
    </xf>
    <xf numFmtId="168" fontId="26" fillId="0" borderId="0" xfId="0" applyNumberFormat="1" applyFont="1" applyAlignment="1">
      <alignment horizontal="center"/>
    </xf>
    <xf numFmtId="0" fontId="25" fillId="0" borderId="0" xfId="0" applyFont="1" applyAlignment="1">
      <alignment horizontal="left" indent="2"/>
    </xf>
    <xf numFmtId="164" fontId="25" fillId="0" borderId="0" xfId="0" applyNumberFormat="1" applyFont="1"/>
    <xf numFmtId="164" fontId="25" fillId="0" borderId="0" xfId="0" applyNumberFormat="1" applyFont="1" applyAlignment="1">
      <alignment horizontal="left"/>
    </xf>
    <xf numFmtId="168" fontId="24" fillId="0" borderId="28" xfId="1" applyFont="1" applyFill="1" applyBorder="1"/>
    <xf numFmtId="168" fontId="24" fillId="0" borderId="30" xfId="1" applyFont="1" applyFill="1" applyBorder="1"/>
    <xf numFmtId="0" fontId="66" fillId="0" borderId="0" xfId="0" applyFont="1"/>
    <xf numFmtId="49" fontId="56" fillId="0" borderId="0" xfId="0" applyNumberFormat="1" applyFont="1" applyAlignment="1">
      <alignment horizontal="right"/>
    </xf>
    <xf numFmtId="0" fontId="56" fillId="0" borderId="0" xfId="0" applyFont="1"/>
    <xf numFmtId="0" fontId="13" fillId="0" borderId="16" xfId="0" applyFont="1" applyBorder="1"/>
    <xf numFmtId="0" fontId="0" fillId="0" borderId="16" xfId="0" applyBorder="1"/>
    <xf numFmtId="49" fontId="56" fillId="0" borderId="16" xfId="0" applyNumberFormat="1" applyFont="1" applyBorder="1" applyAlignment="1">
      <alignment horizontal="right"/>
    </xf>
    <xf numFmtId="0" fontId="56" fillId="0" borderId="16" xfId="0" applyFont="1" applyBorder="1"/>
    <xf numFmtId="0" fontId="70" fillId="0" borderId="0" xfId="0" applyFont="1" applyAlignment="1">
      <alignment horizontal="right"/>
    </xf>
    <xf numFmtId="0" fontId="71" fillId="0" borderId="0" xfId="0" applyFont="1" applyAlignment="1">
      <alignment horizontal="right"/>
    </xf>
    <xf numFmtId="0" fontId="33" fillId="0" borderId="5" xfId="39" applyFont="1" applyBorder="1" applyAlignment="1">
      <alignment horizontal="center"/>
    </xf>
    <xf numFmtId="0" fontId="33" fillId="0" borderId="2" xfId="39" applyFont="1" applyBorder="1" applyAlignment="1">
      <alignment horizontal="center"/>
    </xf>
    <xf numFmtId="0" fontId="33" fillId="0" borderId="29" xfId="39" applyFont="1" applyBorder="1" applyAlignment="1">
      <alignment horizontal="center"/>
    </xf>
    <xf numFmtId="49" fontId="13" fillId="0" borderId="5" xfId="39" applyNumberFormat="1" applyFont="1" applyBorder="1" applyAlignment="1">
      <alignment horizontal="left" wrapText="1"/>
    </xf>
    <xf numFmtId="0" fontId="13" fillId="0" borderId="5" xfId="39" applyFont="1" applyBorder="1" applyAlignment="1">
      <alignment horizontal="center"/>
    </xf>
    <xf numFmtId="0" fontId="13" fillId="0" borderId="5" xfId="39" applyFont="1" applyBorder="1" applyAlignment="1">
      <alignment horizontal="center" wrapText="1"/>
    </xf>
    <xf numFmtId="0" fontId="33" fillId="0" borderId="29" xfId="39" applyFont="1" applyBorder="1" applyAlignment="1">
      <alignment horizontal="center" wrapText="1"/>
    </xf>
    <xf numFmtId="49" fontId="13" fillId="0" borderId="5" xfId="39" applyNumberFormat="1" applyFont="1" applyBorder="1" applyAlignment="1">
      <alignment horizontal="right" wrapText="1"/>
    </xf>
    <xf numFmtId="0" fontId="33" fillId="0" borderId="19" xfId="39" applyFont="1" applyBorder="1" applyAlignment="1">
      <alignment vertical="center"/>
    </xf>
    <xf numFmtId="0" fontId="33" fillId="0" borderId="19" xfId="39" applyFont="1" applyBorder="1" applyAlignment="1">
      <alignment horizontal="center"/>
    </xf>
    <xf numFmtId="0" fontId="31" fillId="0" borderId="19" xfId="39" applyFont="1" applyBorder="1"/>
    <xf numFmtId="49" fontId="43" fillId="0" borderId="19" xfId="39" applyNumberFormat="1" applyFont="1" applyBorder="1" applyAlignment="1">
      <alignment horizontal="right"/>
    </xf>
    <xf numFmtId="0" fontId="20" fillId="0" borderId="19" xfId="39" applyFont="1" applyBorder="1"/>
    <xf numFmtId="0" fontId="33" fillId="0" borderId="19" xfId="39" applyFont="1" applyBorder="1"/>
    <xf numFmtId="17" fontId="13" fillId="0" borderId="19" xfId="39" applyNumberFormat="1" applyFont="1" applyBorder="1" applyAlignment="1">
      <alignment horizontal="right"/>
    </xf>
    <xf numFmtId="0" fontId="52" fillId="0" borderId="0" xfId="39" applyFont="1"/>
    <xf numFmtId="0" fontId="53" fillId="0" borderId="0" xfId="39" applyFont="1"/>
    <xf numFmtId="49" fontId="55" fillId="0" borderId="0" xfId="39" applyNumberFormat="1" applyFont="1" applyAlignment="1">
      <alignment horizontal="right"/>
    </xf>
    <xf numFmtId="168" fontId="55" fillId="0" borderId="0" xfId="1" applyFont="1" applyFill="1"/>
    <xf numFmtId="49" fontId="54" fillId="0" borderId="0" xfId="39" applyNumberFormat="1" applyFont="1" applyAlignment="1">
      <alignment horizontal="right"/>
    </xf>
    <xf numFmtId="0" fontId="54" fillId="0" borderId="0" xfId="39" applyFont="1"/>
    <xf numFmtId="172" fontId="24" fillId="0" borderId="0" xfId="0" applyNumberFormat="1" applyFont="1" applyAlignment="1">
      <alignment horizontal="center" vertical="top"/>
    </xf>
    <xf numFmtId="172" fontId="26" fillId="0" borderId="0" xfId="0" applyNumberFormat="1" applyFont="1" applyAlignment="1">
      <alignment horizontal="left" wrapText="1"/>
    </xf>
    <xf numFmtId="17" fontId="13" fillId="0" borderId="0" xfId="39" applyNumberFormat="1" applyFont="1" applyAlignment="1">
      <alignment horizontal="right"/>
    </xf>
    <xf numFmtId="49" fontId="43" fillId="0" borderId="0" xfId="39" applyNumberFormat="1" applyFont="1" applyAlignment="1">
      <alignment horizontal="right"/>
    </xf>
    <xf numFmtId="0" fontId="41" fillId="0" borderId="0" xfId="0" applyFont="1" applyAlignment="1">
      <alignment horizontal="center"/>
    </xf>
    <xf numFmtId="169" fontId="34" fillId="0" borderId="0" xfId="1" applyNumberFormat="1" applyFont="1" applyFill="1" applyBorder="1" applyAlignment="1">
      <alignment horizontal="left"/>
    </xf>
    <xf numFmtId="169" fontId="26" fillId="0" borderId="0" xfId="1" applyNumberFormat="1" applyFont="1" applyFill="1" applyBorder="1" applyAlignment="1">
      <alignment horizontal="left"/>
    </xf>
    <xf numFmtId="169" fontId="26" fillId="0" borderId="0" xfId="1" applyNumberFormat="1" applyFont="1" applyFill="1" applyBorder="1" applyAlignment="1" applyProtection="1"/>
    <xf numFmtId="169" fontId="25" fillId="0" borderId="28" xfId="1" applyNumberFormat="1" applyFont="1" applyFill="1" applyBorder="1" applyAlignment="1">
      <alignment horizontal="left"/>
    </xf>
    <xf numFmtId="169" fontId="25" fillId="0" borderId="19" xfId="1" applyNumberFormat="1" applyFont="1" applyFill="1" applyBorder="1" applyAlignment="1" applyProtection="1"/>
    <xf numFmtId="169" fontId="41" fillId="0" borderId="0" xfId="1" applyNumberFormat="1" applyFont="1" applyFill="1" applyAlignment="1">
      <alignment horizontal="center"/>
    </xf>
    <xf numFmtId="169" fontId="25" fillId="0" borderId="0" xfId="1" applyNumberFormat="1" applyFont="1" applyFill="1" applyAlignment="1">
      <alignment horizontal="left" vertical="center" wrapText="1"/>
    </xf>
    <xf numFmtId="169" fontId="25" fillId="0" borderId="28" xfId="1" applyNumberFormat="1" applyFont="1" applyFill="1" applyBorder="1" applyAlignment="1">
      <alignment horizontal="center" vertical="center" wrapText="1"/>
    </xf>
    <xf numFmtId="169" fontId="26" fillId="0" borderId="30" xfId="1" applyNumberFormat="1" applyFont="1" applyFill="1" applyBorder="1" applyAlignment="1">
      <alignment horizontal="center"/>
    </xf>
    <xf numFmtId="169" fontId="26" fillId="3" borderId="8" xfId="1" applyNumberFormat="1" applyFont="1" applyFill="1" applyBorder="1" applyAlignment="1">
      <alignment horizontal="right"/>
    </xf>
    <xf numFmtId="169" fontId="26" fillId="3" borderId="8" xfId="1" applyNumberFormat="1" applyFont="1" applyFill="1" applyBorder="1" applyAlignment="1">
      <alignment horizontal="right" vertical="center"/>
    </xf>
    <xf numFmtId="169" fontId="25" fillId="0" borderId="0" xfId="1" applyNumberFormat="1" applyFont="1" applyFill="1" applyAlignment="1">
      <alignment horizontal="left" vertical="center"/>
    </xf>
    <xf numFmtId="169" fontId="25" fillId="0" borderId="29" xfId="1" applyNumberFormat="1" applyFont="1" applyFill="1" applyBorder="1" applyAlignment="1">
      <alignment horizontal="center" vertical="center" wrapText="1"/>
    </xf>
    <xf numFmtId="169" fontId="25" fillId="0" borderId="30" xfId="1" applyNumberFormat="1" applyFont="1" applyFill="1" applyBorder="1" applyAlignment="1">
      <alignment horizontal="center" vertical="center" wrapText="1"/>
    </xf>
    <xf numFmtId="169" fontId="25" fillId="0" borderId="28" xfId="1" applyNumberFormat="1" applyFont="1" applyFill="1" applyBorder="1" applyAlignment="1">
      <alignment horizontal="center" vertical="center" wrapText="1"/>
    </xf>
    <xf numFmtId="169" fontId="25" fillId="0" borderId="7" xfId="1" applyNumberFormat="1" applyFont="1" applyFill="1" applyBorder="1" applyAlignment="1">
      <alignment horizontal="center"/>
    </xf>
    <xf numFmtId="169" fontId="25" fillId="0" borderId="0" xfId="1" applyNumberFormat="1" applyFont="1" applyFill="1" applyAlignment="1">
      <alignment horizontal="center"/>
    </xf>
    <xf numFmtId="169" fontId="25" fillId="0" borderId="8" xfId="1" applyNumberFormat="1" applyFont="1" applyFill="1" applyBorder="1" applyAlignment="1">
      <alignment horizontal="center"/>
    </xf>
    <xf numFmtId="169" fontId="25" fillId="0" borderId="29" xfId="1" applyNumberFormat="1" applyFont="1" applyFill="1" applyBorder="1" applyAlignment="1">
      <alignment horizontal="center" wrapText="1"/>
    </xf>
    <xf numFmtId="169" fontId="25" fillId="0" borderId="30" xfId="1" applyNumberFormat="1" applyFont="1" applyFill="1" applyBorder="1" applyAlignment="1">
      <alignment horizontal="center" wrapText="1"/>
    </xf>
    <xf numFmtId="169" fontId="25" fillId="0" borderId="5" xfId="1" applyNumberFormat="1" applyFont="1" applyFill="1" applyBorder="1" applyAlignment="1">
      <alignment horizontal="center" vertical="center" wrapText="1"/>
    </xf>
    <xf numFmtId="169" fontId="25" fillId="0" borderId="2" xfId="1" applyNumberFormat="1" applyFont="1" applyFill="1" applyBorder="1" applyAlignment="1">
      <alignment horizontal="center" vertical="center" wrapText="1"/>
    </xf>
    <xf numFmtId="169" fontId="25" fillId="0" borderId="9" xfId="1" applyNumberFormat="1" applyFont="1" applyFill="1" applyBorder="1" applyAlignment="1">
      <alignment horizontal="center" vertical="center" wrapText="1"/>
    </xf>
    <xf numFmtId="169" fontId="25" fillId="0" borderId="6" xfId="1" applyNumberFormat="1" applyFont="1" applyFill="1" applyBorder="1" applyAlignment="1">
      <alignment horizontal="center" vertical="center" wrapText="1"/>
    </xf>
    <xf numFmtId="169" fontId="25" fillId="0" borderId="1" xfId="1" applyNumberFormat="1" applyFont="1" applyFill="1" applyBorder="1" applyAlignment="1">
      <alignment horizontal="center" vertical="center" wrapText="1"/>
    </xf>
    <xf numFmtId="169" fontId="25" fillId="0" borderId="11" xfId="1" applyNumberFormat="1" applyFont="1" applyFill="1" applyBorder="1" applyAlignment="1">
      <alignment horizontal="center" vertical="center" wrapText="1"/>
    </xf>
    <xf numFmtId="169" fontId="25" fillId="0" borderId="7" xfId="1" applyNumberFormat="1" applyFont="1" applyFill="1" applyBorder="1" applyAlignment="1">
      <alignment horizontal="left" vertical="top" wrapText="1"/>
    </xf>
    <xf numFmtId="169" fontId="25" fillId="0" borderId="0" xfId="1" applyNumberFormat="1" applyFont="1" applyFill="1" applyAlignment="1">
      <alignment horizontal="left" vertical="top" wrapText="1"/>
    </xf>
    <xf numFmtId="169" fontId="25" fillId="0" borderId="8" xfId="1" applyNumberFormat="1" applyFont="1" applyFill="1" applyBorder="1" applyAlignment="1">
      <alignment horizontal="left" vertical="top" wrapText="1"/>
    </xf>
    <xf numFmtId="169" fontId="25" fillId="0" borderId="0" xfId="1" applyNumberFormat="1" applyFont="1" applyFill="1" applyAlignment="1">
      <alignment horizontal="left" vertical="center" wrapText="1"/>
    </xf>
    <xf numFmtId="169" fontId="25" fillId="0" borderId="0" xfId="1" applyNumberFormat="1" applyFont="1" applyFill="1" applyBorder="1" applyAlignment="1">
      <alignment horizontal="left" vertical="top" wrapText="1"/>
    </xf>
    <xf numFmtId="169" fontId="26" fillId="0" borderId="7" xfId="1" applyNumberFormat="1" applyFont="1" applyFill="1" applyBorder="1" applyAlignment="1">
      <alignment horizontal="right" vertical="top" wrapText="1"/>
    </xf>
    <xf numFmtId="169" fontId="26" fillId="0" borderId="0" xfId="1" applyNumberFormat="1" applyFont="1" applyFill="1" applyAlignment="1">
      <alignment horizontal="right" vertical="top" wrapText="1"/>
    </xf>
    <xf numFmtId="169" fontId="26" fillId="0" borderId="8" xfId="1" applyNumberFormat="1" applyFont="1" applyFill="1" applyBorder="1" applyAlignment="1">
      <alignment horizontal="right" vertical="top" wrapText="1"/>
    </xf>
    <xf numFmtId="169" fontId="58" fillId="0" borderId="0" xfId="1" applyNumberFormat="1" applyFont="1" applyFill="1" applyAlignment="1">
      <alignment horizontal="center" vertical="center" wrapText="1"/>
    </xf>
    <xf numFmtId="169" fontId="42" fillId="0" borderId="0" xfId="1" applyNumberFormat="1" applyFont="1" applyFill="1" applyAlignment="1">
      <alignment horizontal="center"/>
    </xf>
    <xf numFmtId="169" fontId="25" fillId="0" borderId="28" xfId="1" applyNumberFormat="1" applyFont="1" applyFill="1" applyBorder="1" applyAlignment="1">
      <alignment horizontal="center" vertical="center"/>
    </xf>
    <xf numFmtId="169" fontId="21" fillId="0" borderId="3" xfId="1" applyNumberFormat="1" applyFont="1" applyFill="1" applyBorder="1" applyAlignment="1">
      <alignment horizontal="center"/>
    </xf>
    <xf numFmtId="169" fontId="25" fillId="0" borderId="5" xfId="1" applyNumberFormat="1" applyFont="1" applyFill="1" applyBorder="1" applyAlignment="1">
      <alignment horizontal="center" vertical="center"/>
    </xf>
    <xf numFmtId="169" fontId="25" fillId="0" borderId="2" xfId="1" applyNumberFormat="1" applyFont="1" applyFill="1" applyBorder="1" applyAlignment="1">
      <alignment horizontal="center" vertical="center"/>
    </xf>
    <xf numFmtId="169" fontId="25" fillId="0" borderId="9" xfId="1" applyNumberFormat="1" applyFont="1" applyFill="1" applyBorder="1" applyAlignment="1">
      <alignment horizontal="center" vertical="center"/>
    </xf>
    <xf numFmtId="169" fontId="25" fillId="0" borderId="6" xfId="1" applyNumberFormat="1" applyFont="1" applyFill="1" applyBorder="1" applyAlignment="1">
      <alignment horizontal="center" vertical="center"/>
    </xf>
    <xf numFmtId="169" fontId="25" fillId="0" borderId="1" xfId="1" applyNumberFormat="1" applyFont="1" applyFill="1" applyBorder="1" applyAlignment="1">
      <alignment horizontal="center" vertical="center"/>
    </xf>
    <xf numFmtId="169" fontId="25" fillId="0" borderId="11" xfId="1" applyNumberFormat="1" applyFont="1" applyFill="1" applyBorder="1" applyAlignment="1">
      <alignment horizontal="center" vertical="center"/>
    </xf>
    <xf numFmtId="169" fontId="25" fillId="0" borderId="7" xfId="1" applyNumberFormat="1" applyFont="1" applyFill="1" applyBorder="1" applyAlignment="1">
      <alignment horizontal="center" wrapText="1"/>
    </xf>
    <xf numFmtId="169" fontId="25" fillId="0" borderId="0" xfId="1" applyNumberFormat="1" applyFont="1" applyFill="1" applyAlignment="1">
      <alignment horizontal="center" wrapText="1"/>
    </xf>
    <xf numFmtId="169" fontId="25" fillId="0" borderId="8" xfId="1" applyNumberFormat="1" applyFont="1" applyFill="1" applyBorder="1" applyAlignment="1">
      <alignment horizontal="center" wrapText="1"/>
    </xf>
    <xf numFmtId="0" fontId="25" fillId="0" borderId="0" xfId="0" applyFont="1" applyAlignment="1">
      <alignment horizontal="left" vertical="center" wrapText="1"/>
    </xf>
    <xf numFmtId="0" fontId="58" fillId="0" borderId="0" xfId="0" applyFont="1" applyAlignment="1">
      <alignment horizontal="center" wrapText="1"/>
    </xf>
    <xf numFmtId="0" fontId="58" fillId="0" borderId="0" xfId="0" applyFont="1" applyAlignment="1">
      <alignment horizontal="center"/>
    </xf>
    <xf numFmtId="0" fontId="41" fillId="0" borderId="0" xfId="0" applyFont="1" applyAlignment="1">
      <alignment horizontal="center"/>
    </xf>
    <xf numFmtId="0" fontId="21" fillId="0" borderId="3" xfId="0" applyFont="1" applyBorder="1" applyAlignment="1">
      <alignment horizontal="center"/>
    </xf>
    <xf numFmtId="0" fontId="26" fillId="0" borderId="0" xfId="0" applyFont="1" applyAlignment="1">
      <alignment horizontal="left" vertical="center" wrapText="1"/>
    </xf>
    <xf numFmtId="0" fontId="0" fillId="0" borderId="0" xfId="0" applyAlignment="1">
      <alignment horizontal="left" vertical="center" wrapText="1"/>
    </xf>
    <xf numFmtId="0" fontId="24" fillId="0" borderId="0" xfId="0" applyFont="1" applyAlignment="1">
      <alignment horizontal="left" wrapText="1"/>
    </xf>
    <xf numFmtId="0" fontId="26" fillId="0" borderId="0" xfId="0" applyFont="1" applyAlignment="1">
      <alignment horizontal="left" wrapText="1"/>
    </xf>
    <xf numFmtId="0" fontId="0" fillId="0" borderId="0" xfId="0" applyAlignment="1">
      <alignment horizontal="left" wrapText="1"/>
    </xf>
    <xf numFmtId="0" fontId="23" fillId="0" borderId="0" xfId="0" applyFont="1" applyAlignment="1">
      <alignment horizontal="left"/>
    </xf>
    <xf numFmtId="0" fontId="24" fillId="0" borderId="0" xfId="0" applyFont="1" applyAlignment="1">
      <alignment horizontal="left" vertical="top" wrapText="1"/>
    </xf>
    <xf numFmtId="0" fontId="24" fillId="0" borderId="0" xfId="0" applyFont="1" applyAlignment="1">
      <alignment horizontal="left" vertical="center"/>
    </xf>
    <xf numFmtId="0" fontId="24" fillId="0" borderId="0" xfId="0" applyFont="1" applyAlignment="1">
      <alignment horizontal="left" vertical="center" wrapText="1"/>
    </xf>
    <xf numFmtId="0" fontId="23" fillId="0" borderId="20"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2" xfId="0" applyFont="1" applyBorder="1" applyAlignment="1">
      <alignment horizontal="center" vertical="center" wrapText="1"/>
    </xf>
    <xf numFmtId="0" fontId="26" fillId="0" borderId="20" xfId="0" applyFont="1" applyBorder="1" applyAlignment="1">
      <alignment horizontal="left" vertical="center"/>
    </xf>
    <xf numFmtId="0" fontId="26" fillId="0" borderId="4" xfId="0" applyFont="1" applyBorder="1" applyAlignment="1">
      <alignment horizontal="left" vertical="center"/>
    </xf>
    <xf numFmtId="0" fontId="26" fillId="0" borderId="12" xfId="0" applyFont="1" applyBorder="1" applyAlignment="1">
      <alignment horizontal="left" vertical="center"/>
    </xf>
    <xf numFmtId="0" fontId="26" fillId="0" borderId="5"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0" xfId="0" applyFont="1" applyAlignment="1">
      <alignment horizontal="center" vertical="center" wrapText="1"/>
    </xf>
    <xf numFmtId="0" fontId="26" fillId="0" borderId="8"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1" xfId="0" applyFont="1" applyBorder="1" applyAlignment="1">
      <alignment horizontal="center" vertical="center" wrapText="1"/>
    </xf>
    <xf numFmtId="0" fontId="23" fillId="0" borderId="20" xfId="0" applyFont="1" applyBorder="1" applyAlignment="1">
      <alignment horizontal="left" vertical="center"/>
    </xf>
    <xf numFmtId="0" fontId="23" fillId="0" borderId="4" xfId="0" applyFont="1" applyBorder="1" applyAlignment="1">
      <alignment horizontal="left" vertical="center"/>
    </xf>
    <xf numFmtId="0" fontId="23" fillId="0" borderId="12" xfId="0" applyFont="1" applyBorder="1" applyAlignment="1">
      <alignment horizontal="left" vertical="center"/>
    </xf>
    <xf numFmtId="0" fontId="57" fillId="0" borderId="0" xfId="0" applyFont="1" applyAlignment="1">
      <alignment horizontal="left" vertical="center" wrapText="1"/>
    </xf>
    <xf numFmtId="0" fontId="26" fillId="0" borderId="0" xfId="0" applyFont="1" applyAlignment="1">
      <alignment horizontal="left" vertical="top" wrapText="1"/>
    </xf>
    <xf numFmtId="0" fontId="23" fillId="0" borderId="0" xfId="0" applyFont="1" applyAlignment="1">
      <alignment horizontal="left" vertical="center"/>
    </xf>
    <xf numFmtId="169" fontId="26" fillId="0" borderId="5" xfId="1" applyNumberFormat="1" applyFont="1" applyFill="1" applyBorder="1" applyAlignment="1">
      <alignment horizontal="center" vertical="center"/>
    </xf>
    <xf numFmtId="169" fontId="26" fillId="0" borderId="9" xfId="1" applyNumberFormat="1" applyFont="1" applyFill="1" applyBorder="1" applyAlignment="1">
      <alignment horizontal="center" vertical="center"/>
    </xf>
    <xf numFmtId="169" fontId="26" fillId="0" borderId="6" xfId="1" applyNumberFormat="1" applyFont="1" applyFill="1" applyBorder="1" applyAlignment="1">
      <alignment horizontal="center" vertical="center"/>
    </xf>
    <xf numFmtId="169" fontId="26" fillId="0" borderId="11" xfId="1" applyNumberFormat="1" applyFont="1" applyFill="1" applyBorder="1" applyAlignment="1">
      <alignment horizontal="center" vertical="center"/>
    </xf>
    <xf numFmtId="169" fontId="26" fillId="0" borderId="20" xfId="1" applyNumberFormat="1" applyFont="1" applyFill="1" applyBorder="1" applyAlignment="1">
      <alignment horizontal="center"/>
    </xf>
    <xf numFmtId="169" fontId="26" fillId="0" borderId="12" xfId="1" applyNumberFormat="1" applyFont="1" applyFill="1" applyBorder="1" applyAlignment="1">
      <alignment horizontal="center"/>
    </xf>
    <xf numFmtId="169" fontId="25" fillId="0" borderId="31" xfId="1" applyNumberFormat="1" applyFont="1" applyFill="1" applyBorder="1" applyAlignment="1">
      <alignment horizontal="center"/>
    </xf>
    <xf numFmtId="169" fontId="25" fillId="0" borderId="10" xfId="1" applyNumberFormat="1" applyFont="1" applyFill="1" applyBorder="1" applyAlignment="1">
      <alignment horizontal="center"/>
    </xf>
    <xf numFmtId="168" fontId="25" fillId="0" borderId="5" xfId="1" applyFont="1" applyFill="1" applyBorder="1" applyAlignment="1">
      <alignment horizontal="center" vertical="center" wrapText="1"/>
    </xf>
    <xf numFmtId="168" fontId="25" fillId="0" borderId="2" xfId="1" applyFont="1" applyFill="1" applyBorder="1" applyAlignment="1">
      <alignment horizontal="center" vertical="center" wrapText="1"/>
    </xf>
    <xf numFmtId="10" fontId="26" fillId="0" borderId="5" xfId="35" applyNumberFormat="1" applyFont="1" applyFill="1" applyBorder="1" applyAlignment="1">
      <alignment horizontal="center" vertical="center"/>
    </xf>
    <xf numFmtId="10" fontId="26" fillId="0" borderId="9" xfId="35" applyNumberFormat="1" applyFont="1" applyFill="1" applyBorder="1" applyAlignment="1">
      <alignment horizontal="center" vertical="center"/>
    </xf>
    <xf numFmtId="10" fontId="26" fillId="0" borderId="6" xfId="35" applyNumberFormat="1" applyFont="1" applyFill="1" applyBorder="1" applyAlignment="1">
      <alignment horizontal="center" vertical="center"/>
    </xf>
    <xf numFmtId="10" fontId="26" fillId="0" borderId="11" xfId="35" applyNumberFormat="1" applyFont="1" applyFill="1" applyBorder="1" applyAlignment="1">
      <alignment horizontal="center" vertical="center"/>
    </xf>
    <xf numFmtId="168" fontId="25" fillId="0" borderId="20" xfId="1" applyFont="1" applyFill="1" applyBorder="1" applyAlignment="1">
      <alignment horizontal="center" vertical="center" wrapText="1"/>
    </xf>
    <xf numFmtId="168" fontId="25" fillId="0" borderId="4" xfId="1" applyFont="1" applyFill="1" applyBorder="1" applyAlignment="1">
      <alignment horizontal="center" vertical="center" wrapText="1"/>
    </xf>
    <xf numFmtId="168" fontId="25" fillId="0" borderId="12" xfId="1" applyFont="1" applyFill="1" applyBorder="1" applyAlignment="1">
      <alignment horizontal="center" vertical="center" wrapText="1"/>
    </xf>
    <xf numFmtId="168" fontId="25" fillId="0" borderId="29" xfId="1" applyFont="1" applyFill="1" applyBorder="1" applyAlignment="1">
      <alignment horizontal="center" vertical="center" wrapText="1"/>
    </xf>
    <xf numFmtId="168" fontId="25" fillId="0" borderId="30" xfId="1" applyFont="1" applyFill="1" applyBorder="1" applyAlignment="1">
      <alignment horizontal="center" vertical="center" wrapText="1"/>
    </xf>
    <xf numFmtId="2" fontId="23" fillId="0" borderId="20" xfId="0" applyNumberFormat="1" applyFont="1" applyBorder="1" applyAlignment="1">
      <alignment horizontal="center" vertical="top"/>
    </xf>
    <xf numFmtId="2" fontId="23" fillId="0" borderId="12" xfId="0" applyNumberFormat="1" applyFont="1" applyBorder="1" applyAlignment="1">
      <alignment horizontal="center" vertical="top"/>
    </xf>
    <xf numFmtId="2" fontId="23" fillId="0" borderId="20" xfId="0" applyNumberFormat="1" applyFont="1" applyBorder="1" applyAlignment="1">
      <alignment vertical="center"/>
    </xf>
    <xf numFmtId="2" fontId="23" fillId="0" borderId="12" xfId="0" applyNumberFormat="1" applyFont="1" applyBorder="1" applyAlignment="1">
      <alignment vertical="center"/>
    </xf>
    <xf numFmtId="2" fontId="24" fillId="0" borderId="19" xfId="0" applyNumberFormat="1" applyFont="1" applyBorder="1" applyAlignment="1">
      <alignment horizontal="center"/>
    </xf>
    <xf numFmtId="2" fontId="24" fillId="0" borderId="5" xfId="1" applyNumberFormat="1" applyFont="1" applyFill="1" applyBorder="1" applyAlignment="1">
      <alignment horizontal="center" vertical="center"/>
    </xf>
    <xf numFmtId="2" fontId="24" fillId="0" borderId="9" xfId="1" applyNumberFormat="1" applyFont="1" applyFill="1" applyBorder="1" applyAlignment="1">
      <alignment horizontal="center" vertical="center"/>
    </xf>
    <xf numFmtId="2" fontId="24" fillId="0" borderId="6" xfId="1" applyNumberFormat="1" applyFont="1" applyFill="1" applyBorder="1" applyAlignment="1">
      <alignment horizontal="center" vertical="center"/>
    </xf>
    <xf numFmtId="2" fontId="24" fillId="0" borderId="11" xfId="1" applyNumberFormat="1" applyFont="1" applyFill="1" applyBorder="1" applyAlignment="1">
      <alignment horizontal="center" vertical="center"/>
    </xf>
    <xf numFmtId="168" fontId="25" fillId="0" borderId="19" xfId="1" applyFont="1" applyFill="1" applyBorder="1" applyAlignment="1">
      <alignment horizontal="center" vertical="center" wrapText="1"/>
    </xf>
    <xf numFmtId="2" fontId="23" fillId="0" borderId="20" xfId="0" applyNumberFormat="1" applyFont="1" applyBorder="1" applyAlignment="1">
      <alignment horizontal="center" vertical="center"/>
    </xf>
    <xf numFmtId="2" fontId="23" fillId="0" borderId="12" xfId="0" applyNumberFormat="1" applyFont="1" applyBorder="1" applyAlignment="1">
      <alignment horizontal="center" vertical="center"/>
    </xf>
    <xf numFmtId="0" fontId="23" fillId="0" borderId="20" xfId="0" applyFont="1" applyBorder="1" applyAlignment="1">
      <alignment horizontal="center" vertical="center"/>
    </xf>
    <xf numFmtId="0" fontId="23" fillId="0" borderId="4" xfId="0" applyFont="1" applyBorder="1" applyAlignment="1">
      <alignment horizontal="center" vertical="center"/>
    </xf>
    <xf numFmtId="0" fontId="23" fillId="0" borderId="12" xfId="0" applyFont="1" applyBorder="1" applyAlignment="1">
      <alignment horizontal="center" vertical="center"/>
    </xf>
    <xf numFmtId="10" fontId="26" fillId="0" borderId="29" xfId="35" applyNumberFormat="1" applyFont="1" applyFill="1" applyBorder="1" applyAlignment="1">
      <alignment horizontal="center" vertical="center" wrapText="1"/>
    </xf>
    <xf numFmtId="10" fontId="26" fillId="0" borderId="30" xfId="35" applyNumberFormat="1" applyFont="1" applyFill="1" applyBorder="1" applyAlignment="1">
      <alignment horizontal="center" vertical="center" wrapText="1"/>
    </xf>
    <xf numFmtId="169" fontId="26" fillId="0" borderId="20" xfId="1" applyNumberFormat="1" applyFont="1" applyFill="1" applyBorder="1" applyAlignment="1">
      <alignment horizontal="left"/>
    </xf>
    <xf numFmtId="169" fontId="26" fillId="0" borderId="4" xfId="1" applyNumberFormat="1" applyFont="1" applyFill="1" applyBorder="1" applyAlignment="1">
      <alignment horizontal="left"/>
    </xf>
    <xf numFmtId="169" fontId="26" fillId="0" borderId="7" xfId="1" applyNumberFormat="1" applyFont="1" applyFill="1" applyBorder="1" applyAlignment="1">
      <alignment horizontal="left" wrapText="1"/>
    </xf>
    <xf numFmtId="169" fontId="26" fillId="0" borderId="0" xfId="1" applyNumberFormat="1" applyFont="1" applyFill="1" applyAlignment="1">
      <alignment horizontal="left" wrapText="1"/>
    </xf>
    <xf numFmtId="0" fontId="24" fillId="0" borderId="19" xfId="0" applyFont="1" applyBorder="1" applyAlignment="1">
      <alignment horizontal="center" vertical="center" wrapText="1"/>
    </xf>
    <xf numFmtId="0" fontId="28" fillId="0" borderId="19" xfId="0" applyFont="1" applyBorder="1" applyAlignment="1">
      <alignment horizontal="center" vertical="center"/>
    </xf>
    <xf numFmtId="0" fontId="23" fillId="0" borderId="0" xfId="0" applyFont="1" applyAlignment="1">
      <alignment horizontal="left" wrapText="1"/>
    </xf>
    <xf numFmtId="0" fontId="23" fillId="0" borderId="0" xfId="0" applyFont="1" applyAlignment="1">
      <alignment horizontal="left" vertical="top" wrapText="1"/>
    </xf>
    <xf numFmtId="168" fontId="25" fillId="0" borderId="5" xfId="1" applyFont="1" applyFill="1" applyBorder="1" applyAlignment="1">
      <alignment horizontal="center" vertical="center"/>
    </xf>
    <xf numFmtId="168" fontId="25" fillId="0" borderId="9" xfId="1" applyFont="1" applyFill="1" applyBorder="1" applyAlignment="1">
      <alignment horizontal="center" vertical="center"/>
    </xf>
    <xf numFmtId="168" fontId="25" fillId="0" borderId="6" xfId="1" applyFont="1" applyFill="1" applyBorder="1" applyAlignment="1">
      <alignment horizontal="center" vertical="center"/>
    </xf>
    <xf numFmtId="168" fontId="25" fillId="0" borderId="11" xfId="1" applyFont="1" applyFill="1" applyBorder="1" applyAlignment="1">
      <alignment horizontal="center" vertical="center"/>
    </xf>
    <xf numFmtId="0" fontId="26" fillId="0" borderId="2" xfId="0" applyFont="1" applyBorder="1" applyAlignment="1">
      <alignment horizontal="center"/>
    </xf>
    <xf numFmtId="9" fontId="26" fillId="0" borderId="29" xfId="35" applyFont="1" applyFill="1" applyBorder="1" applyAlignment="1">
      <alignment horizontal="center" vertical="center" wrapText="1"/>
    </xf>
    <xf numFmtId="9" fontId="26" fillId="0" borderId="30" xfId="35" applyFont="1" applyFill="1" applyBorder="1" applyAlignment="1">
      <alignment horizontal="center" vertical="center" wrapText="1"/>
    </xf>
    <xf numFmtId="168" fontId="25" fillId="0" borderId="9" xfId="1" applyFont="1" applyFill="1" applyBorder="1" applyAlignment="1">
      <alignment horizontal="center" vertical="center" wrapText="1"/>
    </xf>
    <xf numFmtId="168" fontId="25" fillId="0" borderId="20" xfId="1" applyFont="1" applyFill="1" applyBorder="1" applyAlignment="1">
      <alignment horizontal="center" vertical="center"/>
    </xf>
    <xf numFmtId="168" fontId="25" fillId="0" borderId="12" xfId="1" applyFont="1" applyFill="1" applyBorder="1" applyAlignment="1">
      <alignment horizontal="center" vertical="center"/>
    </xf>
    <xf numFmtId="0" fontId="22" fillId="0" borderId="29" xfId="0" applyFont="1" applyBorder="1" applyAlignment="1">
      <alignment horizontal="center"/>
    </xf>
    <xf numFmtId="0" fontId="22" fillId="0" borderId="9" xfId="0" applyFont="1" applyBorder="1" applyAlignment="1">
      <alignment horizontal="center"/>
    </xf>
    <xf numFmtId="0" fontId="22" fillId="0" borderId="5" xfId="0" applyFont="1" applyBorder="1" applyAlignment="1">
      <alignment horizontal="center"/>
    </xf>
    <xf numFmtId="169" fontId="23" fillId="0" borderId="0" xfId="1" applyNumberFormat="1" applyFont="1" applyFill="1" applyAlignment="1">
      <alignment horizontal="left" vertical="top" wrapText="1"/>
    </xf>
    <xf numFmtId="169" fontId="24" fillId="0" borderId="28" xfId="1" applyNumberFormat="1" applyFont="1" applyFill="1" applyBorder="1" applyAlignment="1">
      <alignment horizontal="center"/>
    </xf>
    <xf numFmtId="169" fontId="24" fillId="0" borderId="8" xfId="1" applyNumberFormat="1" applyFont="1" applyFill="1" applyBorder="1" applyAlignment="1">
      <alignment horizontal="center"/>
    </xf>
    <xf numFmtId="169" fontId="24" fillId="0" borderId="7" xfId="1" applyNumberFormat="1" applyFont="1" applyFill="1" applyBorder="1" applyAlignment="1">
      <alignment horizontal="center"/>
    </xf>
    <xf numFmtId="169" fontId="26" fillId="0" borderId="6" xfId="1" applyNumberFormat="1" applyFont="1" applyFill="1" applyBorder="1" applyAlignment="1">
      <alignment horizontal="center"/>
    </xf>
    <xf numFmtId="169" fontId="26" fillId="0" borderId="11" xfId="1" applyNumberFormat="1" applyFont="1" applyFill="1" applyBorder="1" applyAlignment="1">
      <alignment horizontal="center"/>
    </xf>
    <xf numFmtId="169" fontId="26" fillId="0" borderId="30" xfId="1" applyNumberFormat="1" applyFont="1" applyFill="1" applyBorder="1" applyAlignment="1">
      <alignment horizontal="center"/>
    </xf>
    <xf numFmtId="2" fontId="23" fillId="0" borderId="19" xfId="0" applyNumberFormat="1" applyFont="1" applyBorder="1" applyAlignment="1">
      <alignment horizontal="center" vertical="center" wrapText="1"/>
    </xf>
    <xf numFmtId="2" fontId="23" fillId="0" borderId="19" xfId="0" applyNumberFormat="1" applyFont="1" applyBorder="1" applyAlignment="1">
      <alignment horizontal="center"/>
    </xf>
    <xf numFmtId="2" fontId="24" fillId="0" borderId="19" xfId="0" applyNumberFormat="1" applyFont="1" applyBorder="1" applyAlignment="1">
      <alignment horizontal="left" vertical="center" wrapText="1"/>
    </xf>
    <xf numFmtId="2" fontId="24" fillId="0" borderId="20" xfId="1" applyNumberFormat="1" applyFont="1" applyFill="1" applyBorder="1" applyAlignment="1">
      <alignment horizontal="center" vertical="center"/>
    </xf>
    <xf numFmtId="2" fontId="24" fillId="0" borderId="12" xfId="1" applyNumberFormat="1" applyFont="1" applyFill="1" applyBorder="1" applyAlignment="1">
      <alignment horizontal="center" vertical="center"/>
    </xf>
    <xf numFmtId="169" fontId="25" fillId="0" borderId="20" xfId="1" applyNumberFormat="1" applyFont="1" applyFill="1" applyBorder="1" applyAlignment="1">
      <alignment horizontal="center" vertical="center"/>
    </xf>
    <xf numFmtId="169" fontId="25" fillId="0" borderId="12" xfId="1" applyNumberFormat="1" applyFont="1" applyFill="1" applyBorder="1" applyAlignment="1">
      <alignment horizontal="center" vertical="center"/>
    </xf>
    <xf numFmtId="169" fontId="25" fillId="0" borderId="6" xfId="1" applyNumberFormat="1" applyFont="1" applyFill="1" applyBorder="1" applyAlignment="1">
      <alignment horizontal="center"/>
    </xf>
    <xf numFmtId="169" fontId="25" fillId="0" borderId="1" xfId="1" applyNumberFormat="1" applyFont="1" applyFill="1" applyBorder="1" applyAlignment="1">
      <alignment horizontal="center"/>
    </xf>
    <xf numFmtId="169" fontId="25" fillId="0" borderId="11" xfId="1" applyNumberFormat="1" applyFont="1" applyFill="1" applyBorder="1" applyAlignment="1">
      <alignment horizontal="center"/>
    </xf>
    <xf numFmtId="169" fontId="26" fillId="0" borderId="6" xfId="1" applyNumberFormat="1" applyFont="1" applyFill="1" applyBorder="1" applyAlignment="1">
      <alignment horizontal="left" wrapText="1"/>
    </xf>
    <xf numFmtId="169" fontId="26" fillId="0" borderId="1" xfId="1" applyNumberFormat="1" applyFont="1" applyFill="1" applyBorder="1" applyAlignment="1">
      <alignment horizontal="left" wrapText="1"/>
    </xf>
    <xf numFmtId="169" fontId="26" fillId="0" borderId="11" xfId="1" applyNumberFormat="1" applyFont="1" applyFill="1" applyBorder="1" applyAlignment="1">
      <alignment horizontal="left" wrapText="1"/>
    </xf>
    <xf numFmtId="169" fontId="26" fillId="0" borderId="12" xfId="1" applyNumberFormat="1" applyFont="1" applyFill="1" applyBorder="1" applyAlignment="1">
      <alignment horizontal="left"/>
    </xf>
    <xf numFmtId="169" fontId="25" fillId="0" borderId="4" xfId="1" applyNumberFormat="1" applyFont="1" applyFill="1" applyBorder="1" applyAlignment="1">
      <alignment horizontal="center" vertical="center"/>
    </xf>
    <xf numFmtId="0" fontId="23" fillId="0" borderId="0" xfId="0" applyFont="1" applyAlignment="1">
      <alignment horizontal="left" vertical="top"/>
    </xf>
    <xf numFmtId="0" fontId="25" fillId="0" borderId="5" xfId="0" applyFont="1" applyBorder="1" applyAlignment="1">
      <alignment horizontal="center" vertical="center"/>
    </xf>
    <xf numFmtId="0" fontId="25" fillId="0" borderId="2" xfId="0" applyFont="1" applyBorder="1" applyAlignment="1">
      <alignment horizontal="center" vertical="center"/>
    </xf>
    <xf numFmtId="0" fontId="25" fillId="0" borderId="9" xfId="0" applyFont="1" applyBorder="1" applyAlignment="1">
      <alignment horizontal="center" vertical="center"/>
    </xf>
    <xf numFmtId="0" fontId="25" fillId="0" borderId="6" xfId="0" applyFont="1" applyBorder="1" applyAlignment="1">
      <alignment horizontal="center" vertical="center"/>
    </xf>
    <xf numFmtId="0" fontId="25" fillId="0" borderId="1" xfId="0" applyFont="1" applyBorder="1" applyAlignment="1">
      <alignment horizontal="center" vertical="center"/>
    </xf>
    <xf numFmtId="0" fontId="25" fillId="0" borderId="11" xfId="0" applyFont="1" applyBorder="1" applyAlignment="1">
      <alignment horizontal="center" vertical="center"/>
    </xf>
    <xf numFmtId="0" fontId="22" fillId="0" borderId="7" xfId="0" applyFont="1" applyBorder="1" applyAlignment="1">
      <alignment horizontal="left"/>
    </xf>
    <xf numFmtId="0" fontId="22" fillId="0" borderId="0" xfId="0" applyFont="1" applyAlignment="1">
      <alignment horizontal="left"/>
    </xf>
    <xf numFmtId="169" fontId="22" fillId="0" borderId="7" xfId="1" applyNumberFormat="1" applyFont="1" applyFill="1" applyBorder="1" applyAlignment="1">
      <alignment horizontal="left"/>
    </xf>
    <xf numFmtId="169" fontId="22" fillId="0" borderId="0" xfId="1" applyNumberFormat="1" applyFont="1" applyFill="1" applyAlignment="1">
      <alignment horizontal="left"/>
    </xf>
    <xf numFmtId="168" fontId="25" fillId="0" borderId="4" xfId="1" applyFont="1" applyFill="1" applyBorder="1" applyAlignment="1">
      <alignment horizontal="center" vertical="center"/>
    </xf>
    <xf numFmtId="2" fontId="24" fillId="0" borderId="19" xfId="0" applyNumberFormat="1" applyFont="1" applyBorder="1" applyAlignment="1">
      <alignment horizontal="left"/>
    </xf>
    <xf numFmtId="1" fontId="24" fillId="0" borderId="5" xfId="1" applyNumberFormat="1" applyFont="1" applyFill="1" applyBorder="1" applyAlignment="1">
      <alignment horizontal="center" vertical="center"/>
    </xf>
    <xf numFmtId="1" fontId="24" fillId="0" borderId="9" xfId="1" applyNumberFormat="1" applyFont="1" applyFill="1" applyBorder="1" applyAlignment="1">
      <alignment horizontal="center" vertical="center"/>
    </xf>
    <xf numFmtId="1" fontId="24" fillId="0" borderId="6" xfId="1" applyNumberFormat="1" applyFont="1" applyFill="1" applyBorder="1" applyAlignment="1">
      <alignment horizontal="center" vertical="center"/>
    </xf>
    <xf numFmtId="1" fontId="24" fillId="0" borderId="11" xfId="1" applyNumberFormat="1" applyFont="1" applyFill="1" applyBorder="1" applyAlignment="1">
      <alignment horizontal="center" vertical="center"/>
    </xf>
    <xf numFmtId="169" fontId="26" fillId="0" borderId="0" xfId="1" applyNumberFormat="1" applyFont="1" applyFill="1" applyAlignment="1">
      <alignment horizontal="center"/>
    </xf>
    <xf numFmtId="169" fontId="25" fillId="0" borderId="5" xfId="1" applyNumberFormat="1" applyFont="1" applyFill="1" applyBorder="1" applyAlignment="1">
      <alignment horizontal="left"/>
    </xf>
    <xf numFmtId="169" fontId="25" fillId="0" borderId="2" xfId="1" applyNumberFormat="1" applyFont="1" applyFill="1" applyBorder="1" applyAlignment="1">
      <alignment horizontal="left"/>
    </xf>
    <xf numFmtId="169" fontId="26" fillId="0" borderId="7" xfId="1" applyNumberFormat="1" applyFont="1" applyFill="1" applyBorder="1" applyAlignment="1">
      <alignment horizontal="left"/>
    </xf>
    <xf numFmtId="169" fontId="26" fillId="0" borderId="0" xfId="1" applyNumberFormat="1" applyFont="1" applyFill="1" applyAlignment="1">
      <alignment horizontal="left"/>
    </xf>
    <xf numFmtId="169" fontId="25" fillId="0" borderId="20" xfId="1" applyNumberFormat="1" applyFont="1" applyFill="1" applyBorder="1" applyAlignment="1">
      <alignment horizontal="center"/>
    </xf>
    <xf numFmtId="169" fontId="25" fillId="0" borderId="4" xfId="1" applyNumberFormat="1" applyFont="1" applyFill="1" applyBorder="1" applyAlignment="1">
      <alignment horizontal="center"/>
    </xf>
    <xf numFmtId="169" fontId="25" fillId="0" borderId="12" xfId="1" applyNumberFormat="1" applyFont="1" applyFill="1" applyBorder="1" applyAlignment="1">
      <alignment horizontal="center"/>
    </xf>
    <xf numFmtId="169" fontId="26" fillId="0" borderId="0" xfId="1" applyNumberFormat="1" applyFont="1" applyFill="1" applyBorder="1" applyAlignment="1">
      <alignment horizontal="left" wrapText="1"/>
    </xf>
    <xf numFmtId="169" fontId="26" fillId="0" borderId="8" xfId="1" applyNumberFormat="1" applyFont="1" applyFill="1" applyBorder="1" applyAlignment="1">
      <alignment horizontal="left" wrapText="1"/>
    </xf>
    <xf numFmtId="169" fontId="25" fillId="0" borderId="19" xfId="1" applyNumberFormat="1" applyFont="1" applyFill="1" applyBorder="1" applyAlignment="1">
      <alignment horizontal="left"/>
    </xf>
    <xf numFmtId="169" fontId="23" fillId="0" borderId="19" xfId="1" applyNumberFormat="1" applyFont="1" applyFill="1" applyBorder="1" applyAlignment="1">
      <alignment horizontal="center" vertical="center"/>
    </xf>
    <xf numFmtId="169" fontId="24" fillId="0" borderId="20" xfId="1" applyNumberFormat="1" applyFont="1" applyFill="1" applyBorder="1" applyAlignment="1">
      <alignment horizontal="left" vertical="center"/>
    </xf>
    <xf numFmtId="169" fontId="24" fillId="0" borderId="12" xfId="1" applyNumberFormat="1" applyFont="1" applyFill="1" applyBorder="1" applyAlignment="1">
      <alignment horizontal="left" vertical="center"/>
    </xf>
    <xf numFmtId="169" fontId="23" fillId="0" borderId="20" xfId="1" applyNumberFormat="1" applyFont="1" applyFill="1" applyBorder="1" applyAlignment="1">
      <alignment horizontal="center" vertical="center"/>
    </xf>
    <xf numFmtId="169" fontId="23" fillId="0" borderId="12" xfId="1" applyNumberFormat="1" applyFont="1" applyFill="1" applyBorder="1" applyAlignment="1">
      <alignment horizontal="center" vertical="center"/>
    </xf>
    <xf numFmtId="169" fontId="25" fillId="0" borderId="19" xfId="1" applyNumberFormat="1" applyFont="1" applyFill="1" applyBorder="1" applyAlignment="1">
      <alignment horizontal="center" vertical="center"/>
    </xf>
    <xf numFmtId="169" fontId="25" fillId="0" borderId="20" xfId="1" applyNumberFormat="1" applyFont="1" applyFill="1" applyBorder="1" applyAlignment="1">
      <alignment horizontal="right" vertical="center"/>
    </xf>
    <xf numFmtId="169" fontId="0" fillId="0" borderId="12" xfId="1" applyNumberFormat="1" applyFont="1" applyFill="1" applyBorder="1" applyAlignment="1">
      <alignment horizontal="right" vertical="center"/>
    </xf>
    <xf numFmtId="169" fontId="25" fillId="0" borderId="19" xfId="1" applyNumberFormat="1" applyFont="1" applyFill="1" applyBorder="1" applyAlignment="1">
      <alignment horizontal="center" vertical="center" wrapText="1"/>
    </xf>
    <xf numFmtId="169" fontId="22" fillId="0" borderId="5" xfId="1" applyNumberFormat="1" applyFont="1" applyFill="1" applyBorder="1" applyAlignment="1">
      <alignment horizontal="left" vertical="center"/>
    </xf>
    <xf numFmtId="169" fontId="22" fillId="0" borderId="2" xfId="1" applyNumberFormat="1" applyFont="1" applyFill="1" applyBorder="1" applyAlignment="1">
      <alignment horizontal="left" vertical="center"/>
    </xf>
    <xf numFmtId="169" fontId="26" fillId="0" borderId="5" xfId="1" applyNumberFormat="1" applyFont="1" applyFill="1" applyBorder="1" applyAlignment="1">
      <alignment horizontal="right" vertical="center"/>
    </xf>
    <xf numFmtId="169" fontId="26" fillId="0" borderId="9" xfId="1" applyNumberFormat="1" applyFont="1" applyFill="1" applyBorder="1" applyAlignment="1">
      <alignment horizontal="right" vertical="center"/>
    </xf>
    <xf numFmtId="169" fontId="26" fillId="0" borderId="7" xfId="1" applyNumberFormat="1" applyFont="1" applyFill="1" applyBorder="1" applyAlignment="1">
      <alignment horizontal="right" vertical="center"/>
    </xf>
    <xf numFmtId="169" fontId="26" fillId="0" borderId="8" xfId="1" applyNumberFormat="1" applyFont="1" applyFill="1" applyBorder="1" applyAlignment="1">
      <alignment horizontal="right" vertical="center"/>
    </xf>
    <xf numFmtId="169" fontId="25" fillId="0" borderId="12" xfId="1" applyNumberFormat="1" applyFont="1" applyFill="1" applyBorder="1" applyAlignment="1">
      <alignment horizontal="right" vertical="center"/>
    </xf>
    <xf numFmtId="169" fontId="60" fillId="0" borderId="0" xfId="1" applyNumberFormat="1" applyFont="1" applyFill="1" applyAlignment="1">
      <alignment horizontal="left"/>
    </xf>
    <xf numFmtId="169" fontId="25" fillId="0" borderId="16" xfId="1" applyNumberFormat="1" applyFont="1" applyFill="1" applyBorder="1" applyAlignment="1">
      <alignment horizontal="left"/>
    </xf>
    <xf numFmtId="169" fontId="25" fillId="0" borderId="7" xfId="1" applyNumberFormat="1" applyFont="1" applyFill="1" applyBorder="1" applyAlignment="1">
      <alignment horizontal="right" vertical="center"/>
    </xf>
    <xf numFmtId="169" fontId="25" fillId="0" borderId="8" xfId="1" applyNumberFormat="1" applyFont="1" applyFill="1" applyBorder="1" applyAlignment="1">
      <alignment horizontal="right" vertical="center"/>
    </xf>
    <xf numFmtId="169" fontId="25" fillId="0" borderId="6" xfId="1" applyNumberFormat="1" applyFont="1" applyFill="1" applyBorder="1" applyAlignment="1">
      <alignment horizontal="right" vertical="center"/>
    </xf>
    <xf numFmtId="169" fontId="25" fillId="0" borderId="11" xfId="1" applyNumberFormat="1" applyFont="1" applyFill="1" applyBorder="1" applyAlignment="1">
      <alignment horizontal="right" vertical="center"/>
    </xf>
    <xf numFmtId="169" fontId="21" fillId="0" borderId="2" xfId="1" applyNumberFormat="1" applyFont="1" applyFill="1" applyBorder="1" applyAlignment="1">
      <alignment horizontal="left"/>
    </xf>
    <xf numFmtId="169" fontId="25" fillId="0" borderId="37" xfId="1" applyNumberFormat="1" applyFont="1" applyFill="1" applyBorder="1" applyAlignment="1">
      <alignment horizontal="center"/>
    </xf>
    <xf numFmtId="169" fontId="25" fillId="0" borderId="45" xfId="1" applyNumberFormat="1" applyFont="1" applyFill="1" applyBorder="1" applyAlignment="1">
      <alignment horizontal="center"/>
    </xf>
    <xf numFmtId="169" fontId="25" fillId="0" borderId="43" xfId="1" applyNumberFormat="1" applyFont="1" applyFill="1" applyBorder="1" applyAlignment="1">
      <alignment horizontal="center"/>
    </xf>
    <xf numFmtId="169" fontId="29" fillId="0" borderId="45" xfId="1" applyNumberFormat="1" applyFont="1" applyFill="1" applyBorder="1" applyAlignment="1">
      <alignment horizontal="center"/>
    </xf>
    <xf numFmtId="169" fontId="29" fillId="0" borderId="25" xfId="1" applyNumberFormat="1" applyFont="1" applyFill="1" applyBorder="1" applyAlignment="1">
      <alignment horizontal="center" vertical="center"/>
    </xf>
    <xf numFmtId="169" fontId="29" fillId="0" borderId="22" xfId="1" applyNumberFormat="1" applyFont="1" applyFill="1" applyBorder="1" applyAlignment="1">
      <alignment horizontal="center" vertical="center"/>
    </xf>
    <xf numFmtId="169" fontId="29" fillId="0" borderId="26" xfId="1" applyNumberFormat="1" applyFont="1" applyFill="1" applyBorder="1" applyAlignment="1">
      <alignment horizontal="center" vertical="center"/>
    </xf>
    <xf numFmtId="169" fontId="29" fillId="0" borderId="23" xfId="1" applyNumberFormat="1" applyFont="1" applyFill="1" applyBorder="1" applyAlignment="1">
      <alignment horizontal="center" vertical="center"/>
    </xf>
    <xf numFmtId="169" fontId="29" fillId="0" borderId="38" xfId="1" applyNumberFormat="1" applyFont="1" applyFill="1" applyBorder="1" applyAlignment="1">
      <alignment horizontal="center" vertical="center"/>
    </xf>
    <xf numFmtId="169" fontId="29" fillId="0" borderId="40" xfId="1" applyNumberFormat="1" applyFont="1" applyFill="1" applyBorder="1" applyAlignment="1">
      <alignment horizontal="center" vertical="center"/>
    </xf>
    <xf numFmtId="169" fontId="29" fillId="0" borderId="39" xfId="1" applyNumberFormat="1" applyFont="1" applyFill="1" applyBorder="1" applyAlignment="1">
      <alignment horizontal="center" vertical="center"/>
    </xf>
    <xf numFmtId="169" fontId="23" fillId="0" borderId="29" xfId="1" applyNumberFormat="1" applyFont="1" applyFill="1" applyBorder="1" applyAlignment="1">
      <alignment horizontal="center"/>
    </xf>
    <xf numFmtId="169" fontId="23" fillId="0" borderId="30" xfId="1" applyNumberFormat="1" applyFont="1" applyFill="1" applyBorder="1" applyAlignment="1">
      <alignment horizontal="center"/>
    </xf>
    <xf numFmtId="169" fontId="23" fillId="0" borderId="20" xfId="1" applyNumberFormat="1" applyFont="1" applyFill="1" applyBorder="1" applyAlignment="1">
      <alignment horizontal="center"/>
    </xf>
    <xf numFmtId="169" fontId="23" fillId="0" borderId="4" xfId="1" applyNumberFormat="1" applyFont="1" applyFill="1" applyBorder="1" applyAlignment="1">
      <alignment horizontal="center"/>
    </xf>
    <xf numFmtId="169" fontId="23" fillId="0" borderId="12" xfId="1" applyNumberFormat="1" applyFont="1" applyFill="1" applyBorder="1" applyAlignment="1">
      <alignment horizontal="center"/>
    </xf>
    <xf numFmtId="169" fontId="25" fillId="0" borderId="24" xfId="1" applyNumberFormat="1" applyFont="1" applyFill="1" applyBorder="1" applyAlignment="1">
      <alignment horizontal="center"/>
    </xf>
    <xf numFmtId="169" fontId="25" fillId="0" borderId="25" xfId="1" applyNumberFormat="1" applyFont="1" applyFill="1" applyBorder="1" applyAlignment="1">
      <alignment horizontal="center"/>
    </xf>
    <xf numFmtId="169" fontId="25" fillId="0" borderId="26" xfId="1" applyNumberFormat="1" applyFont="1" applyFill="1" applyBorder="1" applyAlignment="1">
      <alignment horizontal="center"/>
    </xf>
    <xf numFmtId="169" fontId="23" fillId="0" borderId="29" xfId="1" applyNumberFormat="1" applyFont="1" applyFill="1" applyBorder="1" applyAlignment="1">
      <alignment horizontal="center" vertical="center"/>
    </xf>
    <xf numFmtId="169" fontId="23" fillId="0" borderId="30" xfId="1" applyNumberFormat="1" applyFont="1" applyFill="1" applyBorder="1" applyAlignment="1">
      <alignment horizontal="center" vertical="center"/>
    </xf>
    <xf numFmtId="169" fontId="25" fillId="0" borderId="8" xfId="1" applyNumberFormat="1" applyFont="1" applyFill="1" applyBorder="1" applyAlignment="1">
      <alignment horizontal="center" vertical="center" wrapText="1"/>
    </xf>
    <xf numFmtId="169" fontId="26" fillId="0" borderId="7" xfId="1" applyNumberFormat="1" applyFont="1" applyFill="1" applyBorder="1" applyAlignment="1">
      <alignment horizontal="left" vertical="top" wrapText="1"/>
    </xf>
    <xf numFmtId="169" fontId="26" fillId="0" borderId="0" xfId="1" applyNumberFormat="1" applyFont="1" applyFill="1" applyBorder="1" applyAlignment="1">
      <alignment horizontal="left" vertical="top" wrapText="1"/>
    </xf>
    <xf numFmtId="169" fontId="26" fillId="0" borderId="8" xfId="1" applyNumberFormat="1" applyFont="1" applyFill="1" applyBorder="1" applyAlignment="1">
      <alignment horizontal="left" vertical="top" wrapText="1"/>
    </xf>
    <xf numFmtId="169" fontId="25" fillId="0" borderId="7" xfId="1" applyNumberFormat="1" applyFont="1" applyFill="1" applyBorder="1" applyAlignment="1">
      <alignment horizontal="center" vertical="center"/>
    </xf>
    <xf numFmtId="169" fontId="23" fillId="0" borderId="0" xfId="1" applyNumberFormat="1" applyFont="1" applyFill="1" applyAlignment="1">
      <alignment horizontal="left" vertical="top"/>
    </xf>
    <xf numFmtId="169" fontId="23" fillId="0" borderId="19" xfId="1" applyNumberFormat="1" applyFont="1" applyFill="1" applyBorder="1" applyAlignment="1">
      <alignment horizontal="center" vertical="center" wrapText="1"/>
    </xf>
    <xf numFmtId="172" fontId="23" fillId="0" borderId="0" xfId="131" applyNumberFormat="1" applyFont="1" applyAlignment="1">
      <alignment horizontal="center"/>
    </xf>
    <xf numFmtId="172" fontId="23" fillId="0" borderId="27" xfId="131" applyNumberFormat="1" applyFont="1" applyBorder="1" applyAlignment="1">
      <alignment vertical="center"/>
    </xf>
    <xf numFmtId="172" fontId="23" fillId="0" borderId="2" xfId="131" applyNumberFormat="1" applyFont="1" applyBorder="1" applyAlignment="1">
      <alignment horizontal="center"/>
    </xf>
    <xf numFmtId="172" fontId="24" fillId="0" borderId="0" xfId="131" applyNumberFormat="1" applyFont="1" applyAlignment="1">
      <alignment horizontal="left" indent="1"/>
    </xf>
    <xf numFmtId="172" fontId="24" fillId="0" borderId="0" xfId="131" applyNumberFormat="1" applyFont="1" applyAlignment="1">
      <alignment wrapText="1"/>
    </xf>
    <xf numFmtId="172" fontId="23" fillId="0" borderId="2" xfId="131" applyNumberFormat="1" applyFont="1" applyBorder="1" applyAlignment="1">
      <alignment vertical="center"/>
    </xf>
    <xf numFmtId="172" fontId="23" fillId="0" borderId="22" xfId="131" applyNumberFormat="1" applyFont="1" applyBorder="1" applyAlignment="1">
      <alignment vertical="center"/>
    </xf>
    <xf numFmtId="172" fontId="23" fillId="0" borderId="2" xfId="132" applyNumberFormat="1" applyFont="1" applyFill="1" applyBorder="1" applyAlignment="1">
      <alignment horizontal="center"/>
    </xf>
    <xf numFmtId="172" fontId="24" fillId="0" borderId="0" xfId="131" applyNumberFormat="1" applyFont="1" applyAlignment="1">
      <alignment vertical="top" wrapText="1"/>
    </xf>
    <xf numFmtId="169" fontId="23" fillId="0" borderId="2" xfId="1" applyNumberFormat="1" applyFont="1" applyFill="1" applyBorder="1" applyAlignment="1">
      <alignment horizontal="center"/>
    </xf>
    <xf numFmtId="172" fontId="23" fillId="0" borderId="4" xfId="131" applyNumberFormat="1" applyFont="1" applyBorder="1" applyAlignment="1">
      <alignment horizontal="center"/>
    </xf>
    <xf numFmtId="172" fontId="24" fillId="0" borderId="0" xfId="131" applyNumberFormat="1" applyFont="1" applyAlignment="1">
      <alignment horizontal="left" vertical="top"/>
    </xf>
    <xf numFmtId="172" fontId="24" fillId="0" borderId="0" xfId="131" applyNumberFormat="1" applyFont="1" applyAlignment="1">
      <alignment horizontal="left" vertical="center" wrapText="1"/>
    </xf>
    <xf numFmtId="172" fontId="24" fillId="0" borderId="0" xfId="131" applyNumberFormat="1" applyFont="1" applyAlignment="1">
      <alignment vertical="center" wrapText="1"/>
    </xf>
    <xf numFmtId="0" fontId="0" fillId="0" borderId="0" xfId="0" applyAlignment="1">
      <alignment vertical="center" wrapText="1"/>
    </xf>
    <xf numFmtId="172" fontId="24" fillId="0" borderId="0" xfId="131" applyNumberFormat="1" applyFont="1" applyAlignment="1">
      <alignment horizontal="left" vertical="top" wrapText="1"/>
    </xf>
    <xf numFmtId="0" fontId="0" fillId="0" borderId="0" xfId="0" applyAlignment="1">
      <alignment horizontal="left" vertical="top" wrapText="1"/>
    </xf>
    <xf numFmtId="172" fontId="23" fillId="0" borderId="19" xfId="131" applyNumberFormat="1" applyFont="1" applyBorder="1" applyAlignment="1">
      <alignment vertical="center"/>
    </xf>
    <xf numFmtId="172" fontId="23" fillId="0" borderId="19" xfId="131" applyNumberFormat="1" applyFont="1" applyBorder="1" applyAlignment="1">
      <alignment horizontal="center"/>
    </xf>
    <xf numFmtId="169" fontId="37" fillId="0" borderId="19" xfId="1" applyNumberFormat="1" applyFont="1" applyFill="1" applyBorder="1" applyAlignment="1">
      <alignment horizontal="center" vertical="center"/>
    </xf>
    <xf numFmtId="169" fontId="26" fillId="0" borderId="0" xfId="1" applyNumberFormat="1" applyFont="1" applyFill="1" applyAlignment="1">
      <alignment horizontal="left" vertical="top" wrapText="1"/>
    </xf>
    <xf numFmtId="169" fontId="37" fillId="0" borderId="20" xfId="1" applyNumberFormat="1" applyFont="1" applyFill="1" applyBorder="1" applyAlignment="1">
      <alignment horizontal="center" vertical="center"/>
    </xf>
    <xf numFmtId="169" fontId="37" fillId="0" borderId="12" xfId="1" applyNumberFormat="1" applyFont="1" applyFill="1" applyBorder="1" applyAlignment="1">
      <alignment horizontal="center" vertical="center"/>
    </xf>
    <xf numFmtId="169" fontId="23" fillId="0" borderId="0" xfId="1" applyNumberFormat="1" applyFont="1" applyFill="1" applyBorder="1" applyAlignment="1">
      <alignment horizontal="left" vertical="top" wrapText="1"/>
    </xf>
    <xf numFmtId="169" fontId="24" fillId="0" borderId="0" xfId="1" applyNumberFormat="1" applyFont="1" applyFill="1" applyAlignment="1">
      <alignment horizontal="left" vertical="center" wrapText="1"/>
    </xf>
    <xf numFmtId="169" fontId="25" fillId="0" borderId="0" xfId="1" applyNumberFormat="1" applyFont="1" applyFill="1" applyAlignment="1">
      <alignment horizontal="left"/>
    </xf>
    <xf numFmtId="169" fontId="26" fillId="0" borderId="0" xfId="1" applyNumberFormat="1" applyFont="1" applyFill="1" applyAlignment="1">
      <alignment horizontal="justify" vertical="top" wrapText="1"/>
    </xf>
    <xf numFmtId="169" fontId="24" fillId="0" borderId="0" xfId="1" applyNumberFormat="1" applyFont="1" applyFill="1" applyAlignment="1">
      <alignment horizontal="left" wrapText="1"/>
    </xf>
    <xf numFmtId="169" fontId="26" fillId="0" borderId="19" xfId="1" applyNumberFormat="1" applyFont="1" applyFill="1" applyBorder="1" applyAlignment="1">
      <alignment horizontal="center" vertical="top" wrapText="1"/>
    </xf>
    <xf numFmtId="169" fontId="26" fillId="0" borderId="0" xfId="1" applyNumberFormat="1" applyFont="1" applyFill="1" applyAlignment="1">
      <alignment horizontal="left" vertical="center" wrapText="1"/>
    </xf>
    <xf numFmtId="169" fontId="25" fillId="0" borderId="20" xfId="1" applyNumberFormat="1" applyFont="1" applyFill="1" applyBorder="1" applyAlignment="1">
      <alignment horizontal="center" vertical="center" wrapText="1"/>
    </xf>
    <xf numFmtId="169" fontId="25" fillId="0" borderId="12" xfId="1" applyNumberFormat="1" applyFont="1" applyFill="1" applyBorder="1" applyAlignment="1">
      <alignment horizontal="center" vertical="center" wrapText="1"/>
    </xf>
    <xf numFmtId="169" fontId="26" fillId="0" borderId="19" xfId="1" applyNumberFormat="1" applyFont="1" applyFill="1" applyBorder="1" applyAlignment="1">
      <alignment horizontal="center" vertical="center" wrapText="1"/>
    </xf>
    <xf numFmtId="0" fontId="26" fillId="0" borderId="0" xfId="1" applyNumberFormat="1" applyFont="1" applyFill="1" applyAlignment="1">
      <alignment horizontal="left" vertical="top" wrapText="1"/>
    </xf>
    <xf numFmtId="169" fontId="27" fillId="0" borderId="19" xfId="1" applyNumberFormat="1" applyFont="1" applyFill="1" applyBorder="1" applyAlignment="1">
      <alignment horizontal="left" vertical="center" wrapText="1"/>
    </xf>
    <xf numFmtId="0" fontId="24" fillId="0" borderId="19" xfId="1" applyNumberFormat="1" applyFont="1" applyFill="1" applyBorder="1" applyAlignment="1">
      <alignment horizontal="left" vertical="top" wrapText="1"/>
    </xf>
    <xf numFmtId="169" fontId="26" fillId="0" borderId="19" xfId="1" applyNumberFormat="1" applyFont="1" applyFill="1" applyBorder="1" applyAlignment="1">
      <alignment horizontal="left" wrapText="1"/>
    </xf>
    <xf numFmtId="0" fontId="26" fillId="0" borderId="19" xfId="1" applyNumberFormat="1" applyFont="1" applyFill="1" applyBorder="1" applyAlignment="1">
      <alignment horizontal="left" wrapText="1"/>
    </xf>
    <xf numFmtId="169" fontId="23" fillId="0" borderId="0" xfId="1" applyNumberFormat="1" applyFont="1" applyFill="1" applyAlignment="1">
      <alignment horizontal="center" vertical="center" wrapText="1"/>
    </xf>
    <xf numFmtId="169" fontId="23" fillId="0" borderId="1" xfId="1" applyNumberFormat="1" applyFont="1" applyFill="1" applyBorder="1" applyAlignment="1">
      <alignment horizontal="center" vertical="center" wrapText="1"/>
    </xf>
    <xf numFmtId="169" fontId="23" fillId="0" borderId="19" xfId="1" applyNumberFormat="1" applyFont="1" applyFill="1" applyBorder="1" applyAlignment="1">
      <alignment vertical="center"/>
    </xf>
    <xf numFmtId="169" fontId="23" fillId="0" borderId="19" xfId="1" applyNumberFormat="1" applyFont="1" applyFill="1" applyBorder="1" applyAlignment="1">
      <alignment horizontal="center"/>
    </xf>
    <xf numFmtId="169" fontId="24" fillId="0" borderId="20" xfId="1" applyNumberFormat="1" applyFont="1" applyFill="1" applyBorder="1" applyAlignment="1">
      <alignment horizontal="left"/>
    </xf>
    <xf numFmtId="169" fontId="24" fillId="0" borderId="4" xfId="1" applyNumberFormat="1" applyFont="1" applyFill="1" applyBorder="1" applyAlignment="1">
      <alignment horizontal="left"/>
    </xf>
    <xf numFmtId="169" fontId="24" fillId="0" borderId="12" xfId="1" applyNumberFormat="1" applyFont="1" applyFill="1" applyBorder="1" applyAlignment="1">
      <alignment horizontal="left"/>
    </xf>
    <xf numFmtId="169" fontId="24" fillId="0" borderId="0" xfId="1" applyNumberFormat="1" applyFont="1" applyFill="1" applyAlignment="1">
      <alignment horizontal="left" vertical="top" wrapText="1"/>
    </xf>
    <xf numFmtId="169" fontId="25" fillId="0" borderId="0" xfId="1" applyNumberFormat="1" applyFont="1" applyFill="1" applyAlignment="1">
      <alignment horizontal="left" wrapText="1"/>
    </xf>
    <xf numFmtId="169" fontId="25" fillId="0" borderId="19" xfId="1" applyNumberFormat="1" applyFont="1" applyFill="1" applyBorder="1" applyAlignment="1">
      <alignment horizontal="center"/>
    </xf>
    <xf numFmtId="169" fontId="26" fillId="0" borderId="20" xfId="1" applyNumberFormat="1" applyFont="1" applyFill="1" applyBorder="1" applyAlignment="1">
      <alignment horizontal="left" wrapText="1"/>
    </xf>
    <xf numFmtId="169" fontId="26" fillId="0" borderId="4" xfId="1" applyNumberFormat="1" applyFont="1" applyFill="1" applyBorder="1" applyAlignment="1">
      <alignment horizontal="left" wrapText="1"/>
    </xf>
    <xf numFmtId="169" fontId="26" fillId="0" borderId="19" xfId="1" applyNumberFormat="1" applyFont="1" applyFill="1" applyBorder="1" applyAlignment="1">
      <alignment horizontal="left"/>
    </xf>
    <xf numFmtId="172" fontId="26" fillId="0" borderId="0" xfId="0" applyNumberFormat="1" applyFont="1" applyAlignment="1">
      <alignment horizontal="left" wrapText="1"/>
    </xf>
    <xf numFmtId="49" fontId="13" fillId="0" borderId="20" xfId="39" applyNumberFormat="1" applyFont="1" applyBorder="1" applyAlignment="1">
      <alignment horizontal="center"/>
    </xf>
    <xf numFmtId="49" fontId="13" fillId="0" borderId="4" xfId="39" applyNumberFormat="1" applyFont="1" applyBorder="1" applyAlignment="1">
      <alignment horizontal="center"/>
    </xf>
    <xf numFmtId="49" fontId="13" fillId="0" borderId="12" xfId="39" applyNumberFormat="1" applyFont="1" applyBorder="1" applyAlignment="1">
      <alignment horizontal="center"/>
    </xf>
    <xf numFmtId="172" fontId="13" fillId="0" borderId="0" xfId="0" applyNumberFormat="1" applyFont="1" applyAlignment="1">
      <alignment horizontal="left" vertical="center" wrapText="1"/>
    </xf>
    <xf numFmtId="169" fontId="33" fillId="0" borderId="2" xfId="1" applyNumberFormat="1" applyFont="1" applyFill="1" applyBorder="1" applyAlignment="1">
      <alignment horizontal="center" vertical="center"/>
    </xf>
    <xf numFmtId="169" fontId="33" fillId="0" borderId="22" xfId="1" applyNumberFormat="1" applyFont="1" applyFill="1" applyBorder="1" applyAlignment="1">
      <alignment horizontal="center" vertical="center"/>
    </xf>
    <xf numFmtId="169" fontId="33" fillId="0" borderId="2" xfId="1" applyNumberFormat="1" applyFont="1" applyFill="1" applyBorder="1" applyAlignment="1">
      <alignment horizontal="center" vertical="center" wrapText="1"/>
    </xf>
    <xf numFmtId="169" fontId="33" fillId="0" borderId="2" xfId="1" applyNumberFormat="1" applyFont="1" applyFill="1" applyBorder="1" applyAlignment="1">
      <alignment horizontal="center"/>
    </xf>
    <xf numFmtId="169" fontId="20" fillId="0" borderId="0" xfId="1" applyNumberFormat="1" applyFont="1" applyFill="1" applyAlignment="1">
      <alignment horizontal="center" vertical="top" wrapText="1"/>
    </xf>
    <xf numFmtId="169" fontId="20" fillId="0" borderId="0" xfId="1" applyNumberFormat="1" applyFont="1" applyFill="1" applyAlignment="1">
      <alignment horizontal="center" vertical="top"/>
    </xf>
    <xf numFmtId="169" fontId="20" fillId="0" borderId="0" xfId="1" applyNumberFormat="1" applyFont="1" applyFill="1" applyAlignment="1">
      <alignment horizontal="center" vertical="center" wrapText="1"/>
    </xf>
    <xf numFmtId="169" fontId="20" fillId="0" borderId="0" xfId="1" applyNumberFormat="1" applyFont="1" applyFill="1" applyAlignment="1">
      <alignment horizontal="center" vertical="center"/>
    </xf>
  </cellXfs>
  <cellStyles count="137">
    <cellStyle name="Comma" xfId="1" builtinId="3"/>
    <cellStyle name="Comma 10" xfId="43" xr:uid="{00000000-0005-0000-0000-000001000000}"/>
    <cellStyle name="Comma 11" xfId="44" xr:uid="{00000000-0005-0000-0000-000002000000}"/>
    <cellStyle name="Comma 12" xfId="132" xr:uid="{EAAE020E-2DE4-4438-97C9-8DB76077E5E5}"/>
    <cellStyle name="Comma 15 2 3" xfId="2" xr:uid="{00000000-0005-0000-0000-000003000000}"/>
    <cellStyle name="Comma 2" xfId="3" xr:uid="{00000000-0005-0000-0000-000004000000}"/>
    <cellStyle name="Comma 2 2" xfId="45" xr:uid="{00000000-0005-0000-0000-000005000000}"/>
    <cellStyle name="Comma 2 3" xfId="133" xr:uid="{D9951115-1C12-4445-B8A3-932E34D956B1}"/>
    <cellStyle name="Comma 2 5" xfId="136" xr:uid="{7004A021-A5D0-44BD-8198-CCE618E3966C}"/>
    <cellStyle name="Comma 3" xfId="4" xr:uid="{00000000-0005-0000-0000-000006000000}"/>
    <cellStyle name="Comma 3 2" xfId="5" xr:uid="{00000000-0005-0000-0000-000007000000}"/>
    <cellStyle name="Comma 3 2 2" xfId="46" xr:uid="{00000000-0005-0000-0000-000008000000}"/>
    <cellStyle name="Comma 3 3" xfId="47" xr:uid="{00000000-0005-0000-0000-000009000000}"/>
    <cellStyle name="Comma 32" xfId="41" xr:uid="{00000000-0005-0000-0000-00000A000000}"/>
    <cellStyle name="Comma 4" xfId="6" xr:uid="{00000000-0005-0000-0000-00000B000000}"/>
    <cellStyle name="Comma 4 2" xfId="48" xr:uid="{00000000-0005-0000-0000-00000C000000}"/>
    <cellStyle name="Comma 5" xfId="36" xr:uid="{00000000-0005-0000-0000-00000D000000}"/>
    <cellStyle name="Comma 5 2" xfId="49" xr:uid="{00000000-0005-0000-0000-00000E000000}"/>
    <cellStyle name="Comma 6" xfId="7" xr:uid="{00000000-0005-0000-0000-00000F000000}"/>
    <cellStyle name="Comma 6 2" xfId="50" xr:uid="{00000000-0005-0000-0000-000010000000}"/>
    <cellStyle name="Comma 7" xfId="8" xr:uid="{00000000-0005-0000-0000-000011000000}"/>
    <cellStyle name="Comma 8" xfId="51" xr:uid="{00000000-0005-0000-0000-000012000000}"/>
    <cellStyle name="Comma 9" xfId="52" xr:uid="{00000000-0005-0000-0000-000013000000}"/>
    <cellStyle name="Currency 2" xfId="53" xr:uid="{00000000-0005-0000-0000-000015000000}"/>
    <cellStyle name="Hyperlink 2" xfId="54" xr:uid="{00000000-0005-0000-0000-000017000000}"/>
    <cellStyle name="Hyperlink 3" xfId="55" xr:uid="{00000000-0005-0000-0000-000018000000}"/>
    <cellStyle name="Normal" xfId="0" builtinId="0"/>
    <cellStyle name="Normal 10" xfId="9" xr:uid="{00000000-0005-0000-0000-00001A000000}"/>
    <cellStyle name="Normal 10 2" xfId="56" xr:uid="{00000000-0005-0000-0000-00001B000000}"/>
    <cellStyle name="Normal 10 2 2" xfId="57" xr:uid="{00000000-0005-0000-0000-00001C000000}"/>
    <cellStyle name="Normal 10 3" xfId="58" xr:uid="{00000000-0005-0000-0000-00001D000000}"/>
    <cellStyle name="Normal 10 3 2" xfId="59" xr:uid="{00000000-0005-0000-0000-00001E000000}"/>
    <cellStyle name="Normal 10 4" xfId="60" xr:uid="{00000000-0005-0000-0000-00001F000000}"/>
    <cellStyle name="Normal 11" xfId="10" xr:uid="{00000000-0005-0000-0000-000020000000}"/>
    <cellStyle name="Normal 11 2" xfId="61" xr:uid="{00000000-0005-0000-0000-000021000000}"/>
    <cellStyle name="Normal 11 2 2" xfId="62" xr:uid="{00000000-0005-0000-0000-000022000000}"/>
    <cellStyle name="Normal 11 3" xfId="63" xr:uid="{00000000-0005-0000-0000-000023000000}"/>
    <cellStyle name="Normal 11 3 2" xfId="64" xr:uid="{00000000-0005-0000-0000-000024000000}"/>
    <cellStyle name="Normal 11 4" xfId="65" xr:uid="{00000000-0005-0000-0000-000025000000}"/>
    <cellStyle name="Normal 12" xfId="11" xr:uid="{00000000-0005-0000-0000-000026000000}"/>
    <cellStyle name="Normal 12 2" xfId="66" xr:uid="{00000000-0005-0000-0000-000027000000}"/>
    <cellStyle name="Normal 12 2 2" xfId="67" xr:uid="{00000000-0005-0000-0000-000028000000}"/>
    <cellStyle name="Normal 12 3" xfId="68" xr:uid="{00000000-0005-0000-0000-000029000000}"/>
    <cellStyle name="Normal 12 3 2" xfId="69" xr:uid="{00000000-0005-0000-0000-00002A000000}"/>
    <cellStyle name="Normal 12 4" xfId="70" xr:uid="{00000000-0005-0000-0000-00002B000000}"/>
    <cellStyle name="Normal 13" xfId="12" xr:uid="{00000000-0005-0000-0000-00002C000000}"/>
    <cellStyle name="Normal 13 2" xfId="71" xr:uid="{00000000-0005-0000-0000-00002D000000}"/>
    <cellStyle name="Normal 13 2 2" xfId="72" xr:uid="{00000000-0005-0000-0000-00002E000000}"/>
    <cellStyle name="Normal 13 3" xfId="73" xr:uid="{00000000-0005-0000-0000-00002F000000}"/>
    <cellStyle name="Normal 13 3 2" xfId="74" xr:uid="{00000000-0005-0000-0000-000030000000}"/>
    <cellStyle name="Normal 13 4" xfId="75" xr:uid="{00000000-0005-0000-0000-000031000000}"/>
    <cellStyle name="Normal 14" xfId="76" xr:uid="{00000000-0005-0000-0000-000032000000}"/>
    <cellStyle name="Normal 14 2" xfId="77" xr:uid="{00000000-0005-0000-0000-000033000000}"/>
    <cellStyle name="Normal 15" xfId="78" xr:uid="{00000000-0005-0000-0000-000034000000}"/>
    <cellStyle name="Normal 15 2" xfId="79" xr:uid="{00000000-0005-0000-0000-000035000000}"/>
    <cellStyle name="Normal 16" xfId="80" xr:uid="{00000000-0005-0000-0000-000036000000}"/>
    <cellStyle name="Normal 17" xfId="81" xr:uid="{00000000-0005-0000-0000-000037000000}"/>
    <cellStyle name="Normal 18" xfId="82" xr:uid="{00000000-0005-0000-0000-000038000000}"/>
    <cellStyle name="Normal 19" xfId="83" xr:uid="{00000000-0005-0000-0000-000039000000}"/>
    <cellStyle name="Normal 19 10" xfId="130" xr:uid="{1A95F114-8C2F-4B58-87F6-55ECEA01A5AE}"/>
    <cellStyle name="Normal 19 9" xfId="129" xr:uid="{CA2747E5-704C-462B-BAEC-873E67F77D73}"/>
    <cellStyle name="Normal 2" xfId="13" xr:uid="{00000000-0005-0000-0000-00003A000000}"/>
    <cellStyle name="Normal 2 2" xfId="38" xr:uid="{00000000-0005-0000-0000-00003B000000}"/>
    <cellStyle name="Normal 2 2 2" xfId="84" xr:uid="{00000000-0005-0000-0000-00003C000000}"/>
    <cellStyle name="Normal 2 3" xfId="42" xr:uid="{00000000-0005-0000-0000-00003D000000}"/>
    <cellStyle name="Normal 2 3 2" xfId="85" xr:uid="{00000000-0005-0000-0000-00003E000000}"/>
    <cellStyle name="Normal 2 4" xfId="86" xr:uid="{00000000-0005-0000-0000-00003F000000}"/>
    <cellStyle name="Normal 2 5" xfId="128" xr:uid="{4A1A2922-8A3B-4507-8098-92FD6F11BE31}"/>
    <cellStyle name="Normal 20" xfId="14" xr:uid="{00000000-0005-0000-0000-000040000000}"/>
    <cellStyle name="Normal 21" xfId="15" xr:uid="{00000000-0005-0000-0000-000041000000}"/>
    <cellStyle name="Normal 22" xfId="16" xr:uid="{00000000-0005-0000-0000-000042000000}"/>
    <cellStyle name="Normal 23" xfId="17" xr:uid="{00000000-0005-0000-0000-000043000000}"/>
    <cellStyle name="Normal 24" xfId="18" xr:uid="{00000000-0005-0000-0000-000044000000}"/>
    <cellStyle name="Normal 25" xfId="87" xr:uid="{00000000-0005-0000-0000-000045000000}"/>
    <cellStyle name="Normal 26" xfId="19" xr:uid="{00000000-0005-0000-0000-000046000000}"/>
    <cellStyle name="Normal 27" xfId="20" xr:uid="{00000000-0005-0000-0000-000047000000}"/>
    <cellStyle name="Normal 28" xfId="88" xr:uid="{00000000-0005-0000-0000-000048000000}"/>
    <cellStyle name="Normal 29" xfId="21" xr:uid="{00000000-0005-0000-0000-000049000000}"/>
    <cellStyle name="Normal 3" xfId="89" xr:uid="{00000000-0005-0000-0000-00004A000000}"/>
    <cellStyle name="Normal 3 2" xfId="90" xr:uid="{00000000-0005-0000-0000-00004B000000}"/>
    <cellStyle name="Normal 30" xfId="91" xr:uid="{00000000-0005-0000-0000-00004C000000}"/>
    <cellStyle name="Normal 31" xfId="92" xr:uid="{00000000-0005-0000-0000-00004D000000}"/>
    <cellStyle name="Normal 32" xfId="22" xr:uid="{00000000-0005-0000-0000-00004E000000}"/>
    <cellStyle name="Normal 33" xfId="23" xr:uid="{00000000-0005-0000-0000-00004F000000}"/>
    <cellStyle name="Normal 34" xfId="24" xr:uid="{00000000-0005-0000-0000-000050000000}"/>
    <cellStyle name="Normal 36" xfId="25" xr:uid="{00000000-0005-0000-0000-000051000000}"/>
    <cellStyle name="Normal 36 2" xfId="127" xr:uid="{40DBF405-37B0-4A97-AFEE-B9D7C931B470}"/>
    <cellStyle name="Normal 39" xfId="26" xr:uid="{00000000-0005-0000-0000-000052000000}"/>
    <cellStyle name="Normal 4" xfId="27" xr:uid="{00000000-0005-0000-0000-000053000000}"/>
    <cellStyle name="Normal 4 2" xfId="93" xr:uid="{00000000-0005-0000-0000-000054000000}"/>
    <cellStyle name="Normal 4 2 2" xfId="94" xr:uid="{00000000-0005-0000-0000-000055000000}"/>
    <cellStyle name="Normal 4 3" xfId="95" xr:uid="{00000000-0005-0000-0000-000056000000}"/>
    <cellStyle name="Normal 4 3 2" xfId="96" xr:uid="{00000000-0005-0000-0000-000057000000}"/>
    <cellStyle name="Normal 4 4" xfId="97" xr:uid="{00000000-0005-0000-0000-000058000000}"/>
    <cellStyle name="Normal 47" xfId="98" xr:uid="{00000000-0005-0000-0000-000059000000}"/>
    <cellStyle name="Normal 48" xfId="99" xr:uid="{00000000-0005-0000-0000-00005A000000}"/>
    <cellStyle name="Normal 48 2" xfId="100" xr:uid="{00000000-0005-0000-0000-00005B000000}"/>
    <cellStyle name="Normal 5" xfId="101" xr:uid="{00000000-0005-0000-0000-00005C000000}"/>
    <cellStyle name="Normal 5 2" xfId="102" xr:uid="{00000000-0005-0000-0000-00005D000000}"/>
    <cellStyle name="Normal 6" xfId="28" xr:uid="{00000000-0005-0000-0000-00005E000000}"/>
    <cellStyle name="Normal 6 2" xfId="29" xr:uid="{00000000-0005-0000-0000-00005F000000}"/>
    <cellStyle name="Normal 6 2 2" xfId="103" xr:uid="{00000000-0005-0000-0000-000060000000}"/>
    <cellStyle name="Normal 6 2 2 2" xfId="104" xr:uid="{00000000-0005-0000-0000-000061000000}"/>
    <cellStyle name="Normal 6 2 3" xfId="105" xr:uid="{00000000-0005-0000-0000-000062000000}"/>
    <cellStyle name="Normal 6 2 3 2" xfId="106" xr:uid="{00000000-0005-0000-0000-000063000000}"/>
    <cellStyle name="Normal 6 2 4" xfId="107" xr:uid="{00000000-0005-0000-0000-000064000000}"/>
    <cellStyle name="Normal 6 3" xfId="108" xr:uid="{00000000-0005-0000-0000-000065000000}"/>
    <cellStyle name="Normal 66" xfId="30" xr:uid="{00000000-0005-0000-0000-000066000000}"/>
    <cellStyle name="Normal 7" xfId="31" xr:uid="{00000000-0005-0000-0000-000067000000}"/>
    <cellStyle name="Normal 7 2" xfId="109" xr:uid="{00000000-0005-0000-0000-000068000000}"/>
    <cellStyle name="Normal 7 2 2" xfId="110" xr:uid="{00000000-0005-0000-0000-000069000000}"/>
    <cellStyle name="Normal 7 3" xfId="111" xr:uid="{00000000-0005-0000-0000-00006A000000}"/>
    <cellStyle name="Normal 7 3 2" xfId="112" xr:uid="{00000000-0005-0000-0000-00006B000000}"/>
    <cellStyle name="Normal 7 4" xfId="113" xr:uid="{00000000-0005-0000-0000-00006C000000}"/>
    <cellStyle name="Normal 72 7" xfId="135" xr:uid="{C724041A-3EA0-453E-B0F1-B5611FE56881}"/>
    <cellStyle name="Normal 75 2 3" xfId="32" xr:uid="{00000000-0005-0000-0000-00006D000000}"/>
    <cellStyle name="Normal 8" xfId="33" xr:uid="{00000000-0005-0000-0000-00006E000000}"/>
    <cellStyle name="Normal 8 2" xfId="114" xr:uid="{00000000-0005-0000-0000-00006F000000}"/>
    <cellStyle name="Normal 8 2 2" xfId="115" xr:uid="{00000000-0005-0000-0000-000070000000}"/>
    <cellStyle name="Normal 8 3" xfId="116" xr:uid="{00000000-0005-0000-0000-000071000000}"/>
    <cellStyle name="Normal 8 3 2" xfId="117" xr:uid="{00000000-0005-0000-0000-000072000000}"/>
    <cellStyle name="Normal 8 4" xfId="118" xr:uid="{00000000-0005-0000-0000-000073000000}"/>
    <cellStyle name="Normal 80" xfId="39" xr:uid="{00000000-0005-0000-0000-000074000000}"/>
    <cellStyle name="Normal 80 2" xfId="131" xr:uid="{7BEFF3D7-2961-498A-95C0-8E015F4796D4}"/>
    <cellStyle name="Normal 81" xfId="40" xr:uid="{00000000-0005-0000-0000-000075000000}"/>
    <cellStyle name="Normal 9" xfId="34" xr:uid="{00000000-0005-0000-0000-000076000000}"/>
    <cellStyle name="Normal 9 2" xfId="119" xr:uid="{00000000-0005-0000-0000-000077000000}"/>
    <cellStyle name="Normal 9 2 2" xfId="120" xr:uid="{00000000-0005-0000-0000-000078000000}"/>
    <cellStyle name="Normal 9 3" xfId="121" xr:uid="{00000000-0005-0000-0000-000079000000}"/>
    <cellStyle name="Normal 9 3 2" xfId="122" xr:uid="{00000000-0005-0000-0000-00007A000000}"/>
    <cellStyle name="Normal 9 4" xfId="123" xr:uid="{00000000-0005-0000-0000-00007B000000}"/>
    <cellStyle name="Percent" xfId="35" builtinId="5"/>
    <cellStyle name="Percent 2" xfId="37" xr:uid="{00000000-0005-0000-0000-00007D000000}"/>
    <cellStyle name="Percent 3" xfId="124" xr:uid="{00000000-0005-0000-0000-00007E000000}"/>
    <cellStyle name="Percent 4" xfId="125" xr:uid="{00000000-0005-0000-0000-00007F000000}"/>
    <cellStyle name="Percent 5" xfId="126" xr:uid="{00000000-0005-0000-0000-000080000000}"/>
    <cellStyle name="Percent 6" xfId="134" xr:uid="{899ED973-2CB8-4122-A4B0-958A00F2B7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ivate%20Limited%20Company/Gabion%20Technologies%20India%20Private%20Limited/Income%20Tax/FY%202024-25/ABS%2030.09.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tiplserver\F\0-OFFICE%20WORK\0-CA%20DATA\GABION\2024-25\Annual%20Balance%20sheet%20Data%2024-25\1.%20Financial_Final\Final%20Version%20Standalone\Balance%20sheet_Branch%20wise-%2031.03.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tiplserver\F\0-OFFICE%20WORK\0-CA%20DATA\GABION\2024-25\Annual%20Balance%20sheet%20Data%2024-25\Financial\Financial%20V1\Provisional%20Balance%20sheet_Branch%20wise-%2031.03.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ivate%20Limited%20Company/Cloud%20Analogy%20CRM%20Specialist%20Limited/INCOME%20TAX/FY%202023-24/Financials/Cloud%20CRM%20Financials_draft_23-24%20(Thousands)%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CFS"/>
      <sheetName val="All Branches Combined"/>
      <sheetName val="Branch Wise 30.09.2024"/>
      <sheetName val="Debtor's Aging"/>
      <sheetName val="TB-UK(30-09)"/>
      <sheetName val="TB-J&amp;K (30-09)"/>
      <sheetName val="TB-Assam (30-09)"/>
      <sheetName val="TB-DL-31.03.24"/>
      <sheetName val="TB-Bihar (30-09)"/>
      <sheetName val="TB-AS-31.03.24"/>
      <sheetName val="TB-BR-31.03.24"/>
      <sheetName val="TB-SK-31.03.24"/>
      <sheetName val="TB-MH-31.03.24"/>
      <sheetName val="TB-HP-31.03.24"/>
      <sheetName val="TB-OD-31.03.24"/>
      <sheetName val="TB-KA-31.03.24"/>
      <sheetName val="TB-MN-31.03.24"/>
      <sheetName val="TB-HP"/>
      <sheetName val="TB-Kerala(30-09)"/>
      <sheetName val="TB-Manipur"/>
      <sheetName val="TB-Delhi"/>
      <sheetName val="TB-Surat (30-09)"/>
      <sheetName val="TB-MP (30-09)"/>
      <sheetName val="TB-Assam"/>
      <sheetName val="TB-Gujrat"/>
      <sheetName val="TB-Uttrakhand"/>
      <sheetName val="TB-Jk"/>
      <sheetName val="TB-Odisha"/>
      <sheetName val="TB-Sikkim"/>
      <sheetName val="TB-Karnataka"/>
      <sheetName val="TB-Maharashtra"/>
      <sheetName val="Tally Comp."/>
      <sheetName val="GP"/>
      <sheetName val="GST 19-20"/>
      <sheetName val="GST Sheet"/>
      <sheetName val="TDS &amp; TCS Receivable"/>
      <sheetName val="Annexure D"/>
      <sheetName val="Annexure-4"/>
      <sheetName val="TB-Tamilnadu (30-09)"/>
      <sheetName val="TB-Delhi (30-09)"/>
      <sheetName val="TB-Sikkim (30-09)"/>
      <sheetName val="TB-Odisha (30-09)"/>
      <sheetName val="TB-Karnataka (30-09)"/>
      <sheetName val="TB-HP (30-09)"/>
      <sheetName val="FINANCE COST-HP"/>
      <sheetName val="Annexure-3"/>
      <sheetName val="TB-MH (30-09)"/>
      <sheetName val="TB-Manipur (30-09)"/>
      <sheetName val="Annexure-2"/>
      <sheetName val="Annexure-1"/>
      <sheetName val="JAY RAM"/>
      <sheetName val="Advance to Supplier (Dr.)"/>
      <sheetName val="Advance from Cust (Cr.)"/>
      <sheetName val="Expense Payable Final"/>
      <sheetName val="Expense Payable (Cr.)"/>
      <sheetName val="Advance to Supplier Final"/>
      <sheetName val="Advance from Cust Final"/>
      <sheetName val="Sheet1"/>
    </sheetNames>
    <sheetDataSet>
      <sheetData sheetId="0" refreshError="1"/>
      <sheetData sheetId="1" refreshError="1"/>
      <sheetData sheetId="2" refreshError="1"/>
      <sheetData sheetId="3" refreshError="1">
        <row r="145">
          <cell r="U145">
            <v>3314240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1">
          <cell r="B31">
            <v>51963390</v>
          </cell>
        </row>
        <row r="35">
          <cell r="E35">
            <v>1065039.1399999999</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CFS"/>
      <sheetName val="All Branches Combined"/>
      <sheetName val="Branch Wise 31.03.2025"/>
      <sheetName val="GJ-31-03-25"/>
      <sheetName val="KL-31-03-25"/>
      <sheetName val="MP-31-03-25"/>
      <sheetName val="UK-31-3-25"/>
      <sheetName val="Debtor's Aging"/>
      <sheetName val="TB-UK(30-09)"/>
      <sheetName val="TB-J&amp;K (30-09)"/>
      <sheetName val="TB-Assam (30-09)"/>
      <sheetName val="TB-DL-31.03.24"/>
      <sheetName val="TB-Bihar (30-09)"/>
      <sheetName val="TB-AS-31.03.24"/>
      <sheetName val="TB-BR-31.03.24"/>
      <sheetName val="TB-SK-31.03.24"/>
      <sheetName val="TB-MH-31.03.24"/>
      <sheetName val="TB-HP-31.03.24"/>
      <sheetName val="TB-OD-31.03.24"/>
      <sheetName val="TB-KA-31.03.24"/>
      <sheetName val="TB-MN-31.03.24"/>
      <sheetName val="TB-HP"/>
      <sheetName val="TB-Kerala(30-09)"/>
      <sheetName val="TB-Manipur"/>
      <sheetName val="TB-Delhi"/>
      <sheetName val="TB-Surat (30-09)"/>
      <sheetName val="TB-MP (30-09)"/>
      <sheetName val="TB-Assam"/>
      <sheetName val="TB-Gujrat"/>
      <sheetName val="TB-Uttrakhand"/>
      <sheetName val="TB-Jk"/>
      <sheetName val="TB-Odisha"/>
      <sheetName val="TB-Sikkim"/>
      <sheetName val="TB-Karnataka"/>
      <sheetName val="TB-Maharashtra"/>
      <sheetName val="Tally Comp."/>
      <sheetName val="GP"/>
      <sheetName val="GST 19-20"/>
      <sheetName val="GST Sheet"/>
      <sheetName val="TDS &amp; TCS Receivable"/>
      <sheetName val="Annexure D"/>
      <sheetName val="Annexure-4"/>
      <sheetName val="TB-Tamilnadu (30-09)"/>
      <sheetName val="TB-Delhi (30-09)"/>
      <sheetName val="TB-Sikkim (30-09)"/>
      <sheetName val="TB-Odisha (30-09)"/>
      <sheetName val="TB-Karnataka (30-09)"/>
      <sheetName val="TB-Manipur (30-09)"/>
      <sheetName val="TB-HP (30-09)"/>
      <sheetName val="FINANCE COST-HP"/>
      <sheetName val="Annexure-3"/>
      <sheetName val="TB-MH (30-09)"/>
      <sheetName val="Advance to Supplier (Dr.)"/>
      <sheetName val="Advance from Cust (Cr.)"/>
      <sheetName val="Mani-31-3-25"/>
      <sheetName val="TN-31-3-25"/>
      <sheetName val="J&amp;K-31-3-25"/>
      <sheetName val="Dl-31-3-25"/>
      <sheetName val="Assam-31-3-25"/>
      <sheetName val="BR-31-3-25"/>
      <sheetName val="HP-31-3-25"/>
      <sheetName val="Expense Payable Final"/>
      <sheetName val="Expense Payable (Cr.)"/>
      <sheetName val="Od-31-3-25"/>
      <sheetName val="SKM-31-3-25"/>
      <sheetName val="KT-31-3-25"/>
      <sheetName val="MH-31-3-25"/>
      <sheetName val="Advance to Supplier Final"/>
      <sheetName val="Advance from Cust Final"/>
      <sheetName val="Sheet1"/>
    </sheetNames>
    <sheetDataSet>
      <sheetData sheetId="0"/>
      <sheetData sheetId="1"/>
      <sheetData sheetId="2">
        <row r="34">
          <cell r="O34">
            <v>240000</v>
          </cell>
        </row>
        <row r="270">
          <cell r="O270">
            <v>15609433.32</v>
          </cell>
        </row>
        <row r="271">
          <cell r="O271">
            <v>141105</v>
          </cell>
        </row>
        <row r="273">
          <cell r="O273">
            <v>12790570.379999999</v>
          </cell>
        </row>
        <row r="274">
          <cell r="O274">
            <v>7143392.7000000002</v>
          </cell>
        </row>
        <row r="277">
          <cell r="O277">
            <v>356959</v>
          </cell>
        </row>
        <row r="278">
          <cell r="O278">
            <v>27595</v>
          </cell>
        </row>
        <row r="291">
          <cell r="O291">
            <v>51040</v>
          </cell>
        </row>
        <row r="292">
          <cell r="O292">
            <v>2548225</v>
          </cell>
        </row>
        <row r="293">
          <cell r="O293">
            <v>1780879.5</v>
          </cell>
        </row>
        <row r="296">
          <cell r="O296">
            <v>29404789.983884878</v>
          </cell>
        </row>
        <row r="297">
          <cell r="O297">
            <v>111728093.47</v>
          </cell>
        </row>
        <row r="299">
          <cell r="O299">
            <v>63556227.380000003</v>
          </cell>
        </row>
        <row r="307">
          <cell r="O307">
            <v>600</v>
          </cell>
        </row>
        <row r="308">
          <cell r="O308">
            <v>43816</v>
          </cell>
        </row>
        <row r="312">
          <cell r="O312">
            <v>4102889.8</v>
          </cell>
        </row>
        <row r="314">
          <cell r="O314">
            <v>7502472.4399999995</v>
          </cell>
        </row>
        <row r="315">
          <cell r="O315">
            <v>1785094.0999999999</v>
          </cell>
        </row>
        <row r="316">
          <cell r="O316">
            <v>2234985.2000000002</v>
          </cell>
        </row>
        <row r="317">
          <cell r="O317">
            <v>2262927</v>
          </cell>
        </row>
        <row r="318">
          <cell r="O318">
            <v>14820796.25</v>
          </cell>
        </row>
        <row r="319">
          <cell r="O319">
            <v>9549877.8000000007</v>
          </cell>
        </row>
        <row r="320">
          <cell r="O320">
            <v>8280537.6000000006</v>
          </cell>
        </row>
        <row r="321">
          <cell r="O321">
            <v>148148</v>
          </cell>
        </row>
        <row r="322">
          <cell r="O322">
            <v>500000</v>
          </cell>
        </row>
        <row r="324">
          <cell r="O324">
            <v>32270744.530000001</v>
          </cell>
        </row>
        <row r="331">
          <cell r="O331">
            <v>93808.569999999992</v>
          </cell>
        </row>
        <row r="340">
          <cell r="O340">
            <v>2115554</v>
          </cell>
        </row>
        <row r="341">
          <cell r="O341">
            <v>96369.05</v>
          </cell>
        </row>
        <row r="342">
          <cell r="O342">
            <v>6701597.4100000001</v>
          </cell>
        </row>
        <row r="343">
          <cell r="O343">
            <v>594</v>
          </cell>
        </row>
        <row r="344">
          <cell r="O344">
            <v>119598</v>
          </cell>
        </row>
        <row r="350">
          <cell r="O350">
            <v>370073460.35000002</v>
          </cell>
        </row>
        <row r="357">
          <cell r="O357">
            <v>177768434.67000002</v>
          </cell>
        </row>
        <row r="360">
          <cell r="O360">
            <v>107266305</v>
          </cell>
        </row>
        <row r="361">
          <cell r="O361">
            <v>3099572.24</v>
          </cell>
        </row>
        <row r="362">
          <cell r="O362">
            <v>1603432</v>
          </cell>
        </row>
        <row r="363">
          <cell r="O363">
            <v>8000000</v>
          </cell>
        </row>
        <row r="365">
          <cell r="O365">
            <v>6997977.0399999991</v>
          </cell>
        </row>
        <row r="369">
          <cell r="O369">
            <v>1502102.4</v>
          </cell>
        </row>
        <row r="370">
          <cell r="O370">
            <v>2087002.65</v>
          </cell>
        </row>
        <row r="371">
          <cell r="O371">
            <v>19202875</v>
          </cell>
        </row>
        <row r="372">
          <cell r="O372">
            <v>777162.1399999999</v>
          </cell>
        </row>
        <row r="373">
          <cell r="O373">
            <v>5033543.32</v>
          </cell>
        </row>
        <row r="374">
          <cell r="O374">
            <v>691781.73</v>
          </cell>
        </row>
        <row r="375">
          <cell r="O375">
            <v>1369081</v>
          </cell>
        </row>
        <row r="376">
          <cell r="O376">
            <v>11112027</v>
          </cell>
        </row>
        <row r="383">
          <cell r="O383">
            <v>1753759.7699999998</v>
          </cell>
        </row>
        <row r="384">
          <cell r="O384">
            <v>240477.8</v>
          </cell>
        </row>
        <row r="385">
          <cell r="O385">
            <v>1236697.74</v>
          </cell>
        </row>
        <row r="386">
          <cell r="O386">
            <v>3340970.42</v>
          </cell>
        </row>
        <row r="387">
          <cell r="O387">
            <v>61010423.43</v>
          </cell>
        </row>
        <row r="388">
          <cell r="O388">
            <v>49113869.780000001</v>
          </cell>
        </row>
        <row r="389">
          <cell r="O389">
            <v>456734.5</v>
          </cell>
        </row>
        <row r="390">
          <cell r="O390">
            <v>3680125.11</v>
          </cell>
        </row>
        <row r="391">
          <cell r="O391">
            <v>24807033.879999999</v>
          </cell>
        </row>
        <row r="392">
          <cell r="O392">
            <v>1050000</v>
          </cell>
        </row>
        <row r="393">
          <cell r="O393">
            <v>2914410.98</v>
          </cell>
        </row>
        <row r="394">
          <cell r="O394">
            <v>907217.3</v>
          </cell>
        </row>
        <row r="395">
          <cell r="O395">
            <v>805604</v>
          </cell>
        </row>
        <row r="396">
          <cell r="O396">
            <v>3168003.35</v>
          </cell>
        </row>
        <row r="397">
          <cell r="O397">
            <v>974833.08</v>
          </cell>
        </row>
        <row r="398">
          <cell r="O398">
            <v>3684187.4100000006</v>
          </cell>
        </row>
        <row r="399">
          <cell r="O399">
            <v>4400934.3499999996</v>
          </cell>
        </row>
        <row r="400">
          <cell r="O400">
            <v>14634835.690000001</v>
          </cell>
        </row>
        <row r="401">
          <cell r="O401">
            <v>730166.07000000007</v>
          </cell>
        </row>
        <row r="403">
          <cell r="O403">
            <v>320209.76</v>
          </cell>
        </row>
        <row r="404">
          <cell r="O404">
            <v>7264003.3600000003</v>
          </cell>
        </row>
        <row r="405">
          <cell r="O405">
            <v>5655012.3900000006</v>
          </cell>
        </row>
        <row r="406">
          <cell r="O406">
            <v>29625580.090000004</v>
          </cell>
        </row>
        <row r="407">
          <cell r="O407">
            <v>366639.17</v>
          </cell>
        </row>
        <row r="408">
          <cell r="O408">
            <v>1672259.09</v>
          </cell>
        </row>
        <row r="409">
          <cell r="O409">
            <v>7873099</v>
          </cell>
        </row>
        <row r="410">
          <cell r="O410">
            <v>13808947.379999999</v>
          </cell>
        </row>
        <row r="411">
          <cell r="O411">
            <v>813636.41999999993</v>
          </cell>
        </row>
        <row r="412">
          <cell r="O412">
            <v>1212210.1200000001</v>
          </cell>
        </row>
        <row r="413">
          <cell r="O413">
            <v>52838</v>
          </cell>
        </row>
        <row r="414">
          <cell r="O414">
            <v>21419319.82</v>
          </cell>
        </row>
        <row r="416">
          <cell r="O416">
            <v>730.39999999999975</v>
          </cell>
        </row>
      </sheetData>
      <sheetData sheetId="3">
        <row r="357">
          <cell r="T357">
            <v>1603432</v>
          </cell>
        </row>
        <row r="372">
          <cell r="U372">
            <v>818207.52</v>
          </cell>
        </row>
        <row r="373">
          <cell r="U373">
            <v>1695063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CFS"/>
      <sheetName val="All Branches Combined"/>
      <sheetName val="Branch Wise 31.03.2025"/>
      <sheetName val="GJ-31-03-25"/>
      <sheetName val="KL-31-03-25"/>
      <sheetName val="MP-31-03-25"/>
      <sheetName val="UK-31-3-25"/>
      <sheetName val="Debtor's Aging"/>
      <sheetName val="TB-UK(30-09)"/>
      <sheetName val="TB-J&amp;K (30-09)"/>
      <sheetName val="TB-Assam (30-09)"/>
      <sheetName val="TB-DL-31.03.24"/>
      <sheetName val="TB-Bihar (30-09)"/>
      <sheetName val="TB-AS-31.03.24"/>
      <sheetName val="TB-BR-31.03.24"/>
      <sheetName val="TB-SK-31.03.24"/>
      <sheetName val="TB-MH-31.03.24"/>
      <sheetName val="TB-HP-31.03.24"/>
      <sheetName val="TB-OD-31.03.24"/>
      <sheetName val="TB-KA-31.03.24"/>
      <sheetName val="TB-MN-31.03.24"/>
      <sheetName val="TB-HP"/>
      <sheetName val="TB-Kerala(30-09)"/>
      <sheetName val="TB-Manipur"/>
      <sheetName val="TB-Delhi"/>
      <sheetName val="TB-Surat (30-09)"/>
      <sheetName val="TB-MP (30-09)"/>
      <sheetName val="TB-Assam"/>
      <sheetName val="TB-Gujrat"/>
      <sheetName val="TB-Uttrakhand"/>
      <sheetName val="TB-Jk"/>
      <sheetName val="TB-Odisha"/>
      <sheetName val="TB-Sikkim"/>
      <sheetName val="TB-Karnataka"/>
      <sheetName val="TB-Maharashtra"/>
      <sheetName val="Tally Comp."/>
      <sheetName val="GP"/>
      <sheetName val="GST 19-20"/>
      <sheetName val="GST Sheet"/>
      <sheetName val="TDS &amp; TCS Receivable"/>
      <sheetName val="Annexure D"/>
      <sheetName val="Annexure-4"/>
      <sheetName val="TB-Tamilnadu (30-09)"/>
      <sheetName val="TB-Delhi (30-09)"/>
      <sheetName val="TB-Sikkim (30-09)"/>
      <sheetName val="TB-Odisha (30-09)"/>
      <sheetName val="TB-Karnataka (30-09)"/>
      <sheetName val="TB-Manipur (30-09)"/>
      <sheetName val="TB-HP (30-09)"/>
      <sheetName val="FINANCE COST-HP"/>
      <sheetName val="Annexure-3"/>
      <sheetName val="TB-MH (30-09)"/>
      <sheetName val="Advance to Supplier (Dr.)"/>
      <sheetName val="Advance from Cust (Cr.)"/>
      <sheetName val="Mani-31-3-25"/>
      <sheetName val="TN-31-3-25"/>
      <sheetName val="J&amp;K-31-3-25"/>
      <sheetName val="Dl-31-3-25"/>
      <sheetName val="Assam-31-3-25"/>
      <sheetName val="BR-31-3-25"/>
      <sheetName val="HP-31-3-25"/>
      <sheetName val="Expense Payable Final"/>
      <sheetName val="Expense Payable (Cr.)"/>
      <sheetName val="Od-31-3-25"/>
      <sheetName val="SKM-31-3-25"/>
      <sheetName val="KT-31-3-25"/>
      <sheetName val="MH-31-3-25"/>
      <sheetName val="Advance to Supplier Final"/>
      <sheetName val="Advance from Cust Final"/>
      <sheetName val="Sheet1"/>
    </sheetNames>
    <sheetDataSet>
      <sheetData sheetId="0" refreshError="1"/>
      <sheetData sheetId="1" refreshError="1"/>
      <sheetData sheetId="2" refreshError="1">
        <row r="333">
          <cell r="O333">
            <v>8355400</v>
          </cell>
        </row>
        <row r="334">
          <cell r="O334">
            <v>656322397.42000008</v>
          </cell>
        </row>
        <row r="335">
          <cell r="O335">
            <v>336170982.75999999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CFS"/>
      <sheetName val="Note 1-2"/>
      <sheetName val="3"/>
      <sheetName val="4-28"/>
      <sheetName val="Sheet1"/>
      <sheetName val="EBP"/>
      <sheetName val="10"/>
      <sheetName val="Ratio Working"/>
      <sheetName val="tB"/>
    </sheetNames>
    <sheetDataSet>
      <sheetData sheetId="0"/>
      <sheetData sheetId="1"/>
      <sheetData sheetId="2"/>
      <sheetData sheetId="3"/>
      <sheetData sheetId="4"/>
      <sheetData sheetId="5"/>
      <sheetData sheetId="6"/>
      <sheetData sheetId="7"/>
      <sheetData sheetId="8"/>
      <sheetData sheetId="9"/>
      <sheetData sheetId="10">
        <row r="207">
          <cell r="B207">
            <v>4703090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2:IP272"/>
  <sheetViews>
    <sheetView showGridLines="0" tabSelected="1" view="pageBreakPreview" zoomScale="80" zoomScaleNormal="100" zoomScaleSheetLayoutView="80" workbookViewId="0">
      <selection activeCell="F96" sqref="F96"/>
    </sheetView>
  </sheetViews>
  <sheetFormatPr defaultColWidth="9.26953125" defaultRowHeight="19" x14ac:dyDescent="0.45"/>
  <cols>
    <col min="1" max="1" width="12.453125" style="131" customWidth="1"/>
    <col min="2" max="2" width="35.54296875" style="129" customWidth="1"/>
    <col min="3" max="3" width="14.453125" style="129" customWidth="1"/>
    <col min="4" max="4" width="29.1796875" style="129" customWidth="1"/>
    <col min="5" max="5" width="12.26953125" style="129" customWidth="1"/>
    <col min="6" max="6" width="35.1796875" style="129" customWidth="1"/>
    <col min="7" max="7" width="32.7265625" style="129" customWidth="1"/>
    <col min="8" max="8" width="28.453125" style="129" customWidth="1"/>
    <col min="9" max="9" width="19" style="129" bestFit="1" customWidth="1"/>
    <col min="10" max="10" width="19.81640625" style="129" customWidth="1"/>
    <col min="11" max="12" width="28.26953125" style="129" customWidth="1"/>
    <col min="13" max="14" width="22.453125" style="129" customWidth="1"/>
    <col min="15" max="15" width="25.7265625" style="129" customWidth="1"/>
    <col min="16" max="16" width="15.7265625" style="129" customWidth="1"/>
    <col min="17" max="18" width="9.26953125" style="129" customWidth="1"/>
    <col min="19" max="19" width="21.7265625" style="129" customWidth="1"/>
    <col min="20" max="20" width="18.26953125" style="129" customWidth="1"/>
    <col min="21" max="21" width="17.26953125" style="129" customWidth="1"/>
    <col min="22" max="22" width="19.81640625" style="129" bestFit="1" customWidth="1"/>
    <col min="23" max="23" width="19.453125" style="129" bestFit="1" customWidth="1"/>
    <col min="24" max="27" width="9.26953125" style="129" customWidth="1"/>
    <col min="28" max="28" width="10.1796875" style="129" customWidth="1"/>
    <col min="29" max="29" width="16.26953125" style="129" bestFit="1" customWidth="1"/>
    <col min="30" max="30" width="21" style="129" bestFit="1" customWidth="1"/>
    <col min="31" max="16384" width="9.26953125" style="129"/>
  </cols>
  <sheetData>
    <row r="2" spans="1:250" ht="25" x14ac:dyDescent="0.45">
      <c r="A2" s="636" t="s">
        <v>849</v>
      </c>
      <c r="B2" s="636"/>
      <c r="C2" s="636"/>
      <c r="D2" s="636"/>
      <c r="E2" s="636"/>
      <c r="F2" s="636"/>
      <c r="G2" s="636"/>
    </row>
    <row r="3" spans="1:250" ht="21" customHeight="1" x14ac:dyDescent="0.45">
      <c r="A3" s="637" t="s">
        <v>850</v>
      </c>
      <c r="B3" s="637"/>
      <c r="C3" s="637"/>
      <c r="D3" s="637"/>
      <c r="E3" s="637"/>
      <c r="F3" s="637"/>
      <c r="G3" s="637"/>
    </row>
    <row r="4" spans="1:250" x14ac:dyDescent="0.45">
      <c r="A4" s="637" t="s">
        <v>851</v>
      </c>
      <c r="B4" s="637"/>
      <c r="C4" s="637"/>
      <c r="D4" s="637"/>
      <c r="E4" s="637"/>
      <c r="F4" s="637"/>
      <c r="G4" s="637"/>
    </row>
    <row r="5" spans="1:250" x14ac:dyDescent="0.45">
      <c r="A5" s="278"/>
      <c r="B5" s="278"/>
      <c r="C5" s="278"/>
      <c r="D5" s="278"/>
      <c r="E5" s="278"/>
      <c r="F5" s="278"/>
      <c r="G5" s="278"/>
    </row>
    <row r="6" spans="1:250" ht="21" thickBot="1" x14ac:dyDescent="0.5">
      <c r="A6" s="639" t="s">
        <v>767</v>
      </c>
      <c r="B6" s="639"/>
      <c r="C6" s="639"/>
      <c r="D6" s="639"/>
      <c r="E6" s="639"/>
      <c r="F6" s="639"/>
      <c r="G6" s="639"/>
    </row>
    <row r="7" spans="1:250" ht="24" customHeight="1" thickTop="1" x14ac:dyDescent="0.45">
      <c r="A7" s="279"/>
      <c r="B7" s="279"/>
      <c r="C7" s="279"/>
      <c r="D7" s="279"/>
      <c r="E7" s="279"/>
      <c r="F7" s="279"/>
      <c r="G7" s="183"/>
    </row>
    <row r="8" spans="1:250" x14ac:dyDescent="0.45">
      <c r="A8" s="640" t="s">
        <v>37</v>
      </c>
      <c r="B8" s="641"/>
      <c r="C8" s="641"/>
      <c r="D8" s="642"/>
      <c r="E8" s="614" t="s">
        <v>70</v>
      </c>
      <c r="F8" s="624" t="s">
        <v>768</v>
      </c>
      <c r="G8" s="614" t="s">
        <v>459</v>
      </c>
    </row>
    <row r="9" spans="1:250" x14ac:dyDescent="0.45">
      <c r="A9" s="643"/>
      <c r="B9" s="644"/>
      <c r="C9" s="644"/>
      <c r="D9" s="645"/>
      <c r="E9" s="615"/>
      <c r="F9" s="627"/>
      <c r="G9" s="615"/>
    </row>
    <row r="10" spans="1:250" x14ac:dyDescent="0.45">
      <c r="A10" s="273" t="s">
        <v>2</v>
      </c>
      <c r="E10" s="113"/>
      <c r="F10" s="109"/>
      <c r="G10" s="113"/>
    </row>
    <row r="11" spans="1:250" x14ac:dyDescent="0.45">
      <c r="A11" s="273"/>
      <c r="E11" s="113"/>
      <c r="F11" s="109"/>
      <c r="G11" s="113"/>
      <c r="J11" s="109"/>
      <c r="K11" s="329"/>
      <c r="AC11" s="2"/>
    </row>
    <row r="12" spans="1:250" x14ac:dyDescent="0.45">
      <c r="A12" s="394" t="s">
        <v>73</v>
      </c>
      <c r="B12" s="379"/>
      <c r="C12" s="379"/>
      <c r="D12" s="379"/>
      <c r="E12" s="166"/>
      <c r="F12" s="276"/>
      <c r="G12" s="166"/>
    </row>
    <row r="13" spans="1:250" x14ac:dyDescent="0.45">
      <c r="A13" s="378" t="s">
        <v>71</v>
      </c>
      <c r="B13" s="379"/>
      <c r="C13" s="379"/>
      <c r="D13" s="379"/>
      <c r="E13" s="277">
        <v>3</v>
      </c>
      <c r="F13" s="109">
        <f>'Note 3 (Share Capital)'!H13</f>
        <v>99753600</v>
      </c>
      <c r="G13" s="110">
        <f>'Note 3 (Share Capital)'!L13</f>
        <v>16625600</v>
      </c>
      <c r="H13" s="128"/>
      <c r="V13" s="2"/>
      <c r="W13" s="2"/>
      <c r="X13" s="2"/>
      <c r="Y13" s="2"/>
      <c r="Z13" s="2"/>
      <c r="AA13" s="2"/>
      <c r="AB13" s="2"/>
      <c r="AC13" s="2"/>
    </row>
    <row r="14" spans="1:250" x14ac:dyDescent="0.45">
      <c r="A14" s="378" t="s">
        <v>74</v>
      </c>
      <c r="B14" s="379"/>
      <c r="C14" s="379"/>
      <c r="D14" s="379"/>
      <c r="E14" s="277">
        <v>4</v>
      </c>
      <c r="F14" s="109">
        <f>'NOTE (4-12)'!E16</f>
        <v>120619856.65510499</v>
      </c>
      <c r="G14" s="110">
        <f>'NOTE (4-12)'!F16</f>
        <v>142310871.89834064</v>
      </c>
      <c r="H14" s="128"/>
      <c r="V14" s="2"/>
      <c r="W14" s="2"/>
      <c r="X14" s="2"/>
      <c r="Y14" s="2"/>
      <c r="Z14" s="2"/>
      <c r="AA14" s="2"/>
      <c r="AB14" s="2"/>
      <c r="AC14" s="2"/>
    </row>
    <row r="15" spans="1:250" x14ac:dyDescent="0.45">
      <c r="A15" s="378"/>
      <c r="B15" s="379"/>
      <c r="C15" s="379"/>
      <c r="D15" s="379"/>
      <c r="E15" s="277"/>
      <c r="F15" s="109"/>
      <c r="G15" s="110"/>
      <c r="H15" s="128"/>
      <c r="V15" s="2"/>
      <c r="W15" s="2"/>
      <c r="X15" s="2"/>
      <c r="Y15" s="2"/>
      <c r="Z15" s="2"/>
      <c r="AA15" s="2"/>
      <c r="AB15" s="2"/>
      <c r="AC15" s="2"/>
    </row>
    <row r="16" spans="1:250" x14ac:dyDescent="0.45">
      <c r="A16" s="395" t="s">
        <v>72</v>
      </c>
      <c r="B16" s="396"/>
      <c r="C16" s="397"/>
      <c r="D16" s="397"/>
      <c r="E16" s="398"/>
      <c r="F16" s="109"/>
      <c r="G16" s="399"/>
      <c r="H16" s="396"/>
      <c r="I16" s="397"/>
      <c r="J16" s="397"/>
      <c r="K16" s="397"/>
      <c r="L16" s="397"/>
      <c r="M16" s="397"/>
      <c r="N16" s="397"/>
      <c r="O16" s="396"/>
      <c r="P16" s="396"/>
      <c r="Q16" s="396"/>
      <c r="R16" s="396"/>
      <c r="S16" s="396"/>
      <c r="T16" s="396"/>
      <c r="U16" s="396"/>
      <c r="V16" s="400"/>
      <c r="W16" s="400"/>
      <c r="X16" s="400"/>
      <c r="Y16" s="400"/>
      <c r="Z16" s="400"/>
      <c r="AA16" s="400"/>
      <c r="AB16" s="400"/>
      <c r="AC16" s="400"/>
      <c r="AD16" s="400"/>
      <c r="AE16" s="396"/>
      <c r="AF16" s="396"/>
      <c r="AG16" s="396"/>
      <c r="AH16" s="396"/>
      <c r="AI16" s="396"/>
      <c r="AJ16" s="396"/>
      <c r="AK16" s="396"/>
      <c r="AL16" s="396"/>
      <c r="AM16" s="396"/>
      <c r="AN16" s="396"/>
      <c r="AO16" s="396"/>
      <c r="AP16" s="396"/>
      <c r="AQ16" s="396"/>
      <c r="AR16" s="396"/>
      <c r="AS16" s="396"/>
      <c r="AT16" s="396"/>
      <c r="AU16" s="396"/>
      <c r="AV16" s="396"/>
      <c r="AW16" s="396"/>
      <c r="AX16" s="396"/>
      <c r="AY16" s="396"/>
      <c r="AZ16" s="396"/>
      <c r="BA16" s="396"/>
      <c r="BB16" s="396"/>
      <c r="BC16" s="396"/>
      <c r="BD16" s="396"/>
      <c r="BE16" s="396"/>
      <c r="BF16" s="396"/>
      <c r="BG16" s="396"/>
      <c r="BH16" s="396"/>
      <c r="BI16" s="396"/>
      <c r="BJ16" s="396"/>
      <c r="BK16" s="396"/>
      <c r="BL16" s="396"/>
      <c r="BM16" s="396"/>
      <c r="BN16" s="396"/>
      <c r="BO16" s="396"/>
      <c r="BP16" s="396"/>
      <c r="BQ16" s="396"/>
      <c r="BR16" s="396"/>
      <c r="BS16" s="396"/>
      <c r="BT16" s="396"/>
      <c r="BU16" s="396"/>
      <c r="BV16" s="396"/>
      <c r="BW16" s="396"/>
      <c r="BX16" s="396"/>
      <c r="BY16" s="396"/>
      <c r="BZ16" s="396"/>
      <c r="CA16" s="396"/>
      <c r="CB16" s="396"/>
      <c r="CC16" s="396"/>
      <c r="CD16" s="396"/>
      <c r="CE16" s="396"/>
      <c r="CF16" s="396"/>
      <c r="CG16" s="396"/>
      <c r="CH16" s="396"/>
      <c r="CI16" s="396"/>
      <c r="CJ16" s="396"/>
      <c r="CK16" s="396"/>
      <c r="CL16" s="396"/>
      <c r="CM16" s="396"/>
      <c r="CN16" s="396"/>
      <c r="CO16" s="396"/>
      <c r="CP16" s="396"/>
      <c r="CQ16" s="396"/>
      <c r="CR16" s="396"/>
      <c r="CS16" s="396"/>
      <c r="CT16" s="396"/>
      <c r="CU16" s="396"/>
      <c r="CV16" s="396"/>
      <c r="CW16" s="396"/>
      <c r="CX16" s="396"/>
      <c r="CY16" s="396"/>
      <c r="CZ16" s="396"/>
      <c r="DA16" s="396"/>
      <c r="DB16" s="396"/>
      <c r="DC16" s="396"/>
      <c r="DD16" s="396"/>
      <c r="DE16" s="396"/>
      <c r="DF16" s="396"/>
      <c r="DG16" s="396"/>
      <c r="DH16" s="396"/>
      <c r="DI16" s="396"/>
      <c r="DJ16" s="396"/>
      <c r="DK16" s="396"/>
      <c r="DL16" s="396"/>
      <c r="DM16" s="396"/>
      <c r="DN16" s="396"/>
      <c r="DO16" s="396"/>
      <c r="DP16" s="396"/>
      <c r="DQ16" s="396"/>
      <c r="DR16" s="396"/>
      <c r="DS16" s="396"/>
      <c r="DT16" s="396"/>
      <c r="DU16" s="396"/>
      <c r="DV16" s="396"/>
      <c r="DW16" s="396"/>
      <c r="DX16" s="396"/>
      <c r="DY16" s="396"/>
      <c r="DZ16" s="396"/>
      <c r="EA16" s="396"/>
      <c r="EB16" s="396"/>
      <c r="EC16" s="396"/>
      <c r="ED16" s="396"/>
      <c r="EE16" s="396"/>
      <c r="EF16" s="396"/>
      <c r="EG16" s="396"/>
      <c r="EH16" s="396"/>
      <c r="EI16" s="396"/>
      <c r="EJ16" s="396"/>
      <c r="EK16" s="396"/>
      <c r="EL16" s="396"/>
      <c r="EM16" s="396"/>
      <c r="EN16" s="396"/>
      <c r="EO16" s="396"/>
      <c r="EP16" s="396"/>
      <c r="EQ16" s="396"/>
      <c r="ER16" s="396"/>
      <c r="ES16" s="396"/>
      <c r="ET16" s="396"/>
      <c r="EU16" s="396"/>
      <c r="EV16" s="396"/>
      <c r="EW16" s="396"/>
      <c r="EX16" s="396"/>
      <c r="EY16" s="396"/>
      <c r="EZ16" s="396"/>
      <c r="FA16" s="396"/>
      <c r="FB16" s="396"/>
      <c r="FC16" s="396"/>
      <c r="FD16" s="396"/>
      <c r="FE16" s="396"/>
      <c r="FF16" s="396"/>
      <c r="FG16" s="396"/>
      <c r="FH16" s="396"/>
      <c r="FI16" s="396"/>
      <c r="FJ16" s="396"/>
      <c r="FK16" s="396"/>
      <c r="FL16" s="396"/>
      <c r="FM16" s="396"/>
      <c r="FN16" s="396"/>
      <c r="FO16" s="396"/>
      <c r="FP16" s="396"/>
      <c r="FQ16" s="396"/>
      <c r="FR16" s="396"/>
      <c r="FS16" s="396"/>
      <c r="FT16" s="396"/>
      <c r="FU16" s="396"/>
      <c r="FV16" s="396"/>
      <c r="FW16" s="396"/>
      <c r="FX16" s="396"/>
      <c r="FY16" s="396"/>
      <c r="FZ16" s="396"/>
      <c r="GA16" s="396"/>
      <c r="GB16" s="396"/>
      <c r="GC16" s="396"/>
      <c r="GD16" s="396"/>
      <c r="GE16" s="396"/>
      <c r="GF16" s="396"/>
      <c r="GG16" s="396"/>
      <c r="GH16" s="396"/>
      <c r="GI16" s="396"/>
      <c r="GJ16" s="396"/>
      <c r="GK16" s="396"/>
      <c r="GL16" s="396"/>
      <c r="GM16" s="396"/>
      <c r="GN16" s="396"/>
      <c r="GO16" s="396"/>
      <c r="GP16" s="396"/>
      <c r="GQ16" s="396"/>
      <c r="GR16" s="396"/>
      <c r="GS16" s="396"/>
      <c r="GT16" s="396"/>
      <c r="GU16" s="396"/>
      <c r="GV16" s="396"/>
      <c r="GW16" s="396"/>
      <c r="GX16" s="396"/>
      <c r="GY16" s="396"/>
      <c r="GZ16" s="396"/>
      <c r="HA16" s="396"/>
      <c r="HB16" s="396"/>
      <c r="HC16" s="396"/>
      <c r="HD16" s="396"/>
      <c r="HE16" s="396"/>
      <c r="HF16" s="396"/>
      <c r="HG16" s="396"/>
      <c r="HH16" s="396"/>
      <c r="HI16" s="396"/>
      <c r="HJ16" s="396"/>
      <c r="HK16" s="396"/>
      <c r="HL16" s="396"/>
      <c r="HM16" s="396"/>
      <c r="HN16" s="396"/>
      <c r="HO16" s="396"/>
      <c r="HP16" s="396"/>
      <c r="HQ16" s="396"/>
      <c r="HR16" s="396"/>
      <c r="HS16" s="396"/>
      <c r="HT16" s="396"/>
      <c r="HU16" s="396"/>
      <c r="HV16" s="396"/>
      <c r="HW16" s="396"/>
      <c r="HX16" s="396"/>
      <c r="HY16" s="396"/>
      <c r="HZ16" s="396"/>
      <c r="IA16" s="396"/>
      <c r="IB16" s="396"/>
      <c r="IC16" s="396"/>
      <c r="ID16" s="396"/>
      <c r="IE16" s="396"/>
      <c r="IF16" s="396"/>
      <c r="IG16" s="396"/>
      <c r="IH16" s="396"/>
      <c r="II16" s="396"/>
      <c r="IJ16" s="396"/>
      <c r="IK16" s="396"/>
      <c r="IL16" s="396"/>
      <c r="IM16" s="396"/>
      <c r="IN16" s="396"/>
      <c r="IO16" s="396"/>
      <c r="IP16" s="396"/>
    </row>
    <row r="17" spans="1:22" x14ac:dyDescent="0.45">
      <c r="A17" s="394"/>
      <c r="B17" s="94"/>
      <c r="C17" s="94"/>
      <c r="D17" s="379"/>
      <c r="E17" s="277"/>
      <c r="F17" s="109"/>
      <c r="G17" s="110"/>
      <c r="H17" s="128"/>
    </row>
    <row r="18" spans="1:22" x14ac:dyDescent="0.45">
      <c r="A18" s="394" t="s">
        <v>97</v>
      </c>
      <c r="B18" s="94"/>
      <c r="C18" s="94"/>
      <c r="D18" s="379"/>
      <c r="E18" s="277"/>
      <c r="F18" s="109"/>
      <c r="G18" s="110"/>
      <c r="H18" s="128"/>
    </row>
    <row r="19" spans="1:22" x14ac:dyDescent="0.45">
      <c r="A19" s="378" t="s">
        <v>96</v>
      </c>
      <c r="B19" s="94"/>
      <c r="C19" s="94"/>
      <c r="D19" s="379"/>
      <c r="E19" s="277">
        <v>5</v>
      </c>
      <c r="F19" s="109">
        <f>'NOTE (4-12)'!E30</f>
        <v>0</v>
      </c>
      <c r="G19" s="110">
        <f>'NOTE (4-12)'!F30</f>
        <v>133282158.99999999</v>
      </c>
      <c r="H19" s="128"/>
    </row>
    <row r="20" spans="1:22" x14ac:dyDescent="0.45">
      <c r="A20" s="378" t="s">
        <v>75</v>
      </c>
      <c r="B20" s="94"/>
      <c r="C20" s="94"/>
      <c r="D20" s="379"/>
      <c r="E20" s="277">
        <v>6</v>
      </c>
      <c r="F20" s="109">
        <f>'NOTE (4-12)'!F38</f>
        <v>8587125.1437075865</v>
      </c>
      <c r="G20" s="109">
        <f>'NOTE (4-12)'!F43</f>
        <v>7672601.2516592005</v>
      </c>
      <c r="H20" s="401"/>
      <c r="V20" s="2"/>
    </row>
    <row r="21" spans="1:22" hidden="1" x14ac:dyDescent="0.45">
      <c r="A21" s="378" t="s">
        <v>149</v>
      </c>
      <c r="B21" s="94"/>
      <c r="C21" s="94"/>
      <c r="D21" s="379"/>
      <c r="E21" s="277">
        <v>7</v>
      </c>
      <c r="F21" s="109">
        <f>'NOTE (4-12)'!E49</f>
        <v>0</v>
      </c>
      <c r="G21" s="110">
        <f>'NOTE (4-12)'!F49</f>
        <v>0</v>
      </c>
      <c r="H21" s="128"/>
      <c r="I21" s="337"/>
    </row>
    <row r="22" spans="1:22" x14ac:dyDescent="0.45">
      <c r="A22" s="378" t="s">
        <v>470</v>
      </c>
      <c r="B22" s="94"/>
      <c r="C22" s="94"/>
      <c r="D22" s="379"/>
      <c r="E22" s="277">
        <v>7</v>
      </c>
      <c r="F22" s="109">
        <f>'NOTE (4-12)'!E55</f>
        <v>2585438</v>
      </c>
      <c r="G22" s="109">
        <f>'NOTE (4-12)'!F55</f>
        <v>1293445</v>
      </c>
      <c r="H22" s="128"/>
    </row>
    <row r="23" spans="1:22" x14ac:dyDescent="0.45">
      <c r="A23" s="378"/>
      <c r="B23" s="94"/>
      <c r="C23" s="94"/>
      <c r="D23" s="379"/>
      <c r="E23" s="277"/>
      <c r="F23" s="109"/>
      <c r="G23" s="110"/>
      <c r="H23" s="128"/>
    </row>
    <row r="24" spans="1:22" x14ac:dyDescent="0.45">
      <c r="A24" s="394" t="s">
        <v>76</v>
      </c>
      <c r="B24" s="94"/>
      <c r="C24" s="94"/>
      <c r="D24" s="379"/>
      <c r="E24" s="277"/>
      <c r="F24" s="109"/>
      <c r="G24" s="110"/>
    </row>
    <row r="25" spans="1:22" x14ac:dyDescent="0.45">
      <c r="A25" s="378" t="s">
        <v>77</v>
      </c>
      <c r="B25" s="94"/>
      <c r="C25" s="94"/>
      <c r="D25" s="379"/>
      <c r="E25" s="277">
        <v>8</v>
      </c>
      <c r="F25" s="109">
        <f>'NOTE (4-12)'!E71</f>
        <v>0</v>
      </c>
      <c r="G25" s="110">
        <f>'NOTE (4-12)'!F71</f>
        <v>200735964.64000002</v>
      </c>
      <c r="H25" s="128"/>
    </row>
    <row r="26" spans="1:22" x14ac:dyDescent="0.45">
      <c r="A26" s="378" t="s">
        <v>78</v>
      </c>
      <c r="B26" s="379"/>
      <c r="C26" s="94"/>
      <c r="D26" s="276"/>
      <c r="F26" s="110"/>
      <c r="G26" s="110"/>
      <c r="H26" s="128"/>
    </row>
    <row r="27" spans="1:22" x14ac:dyDescent="0.45">
      <c r="A27" s="378" t="s">
        <v>79</v>
      </c>
      <c r="B27" s="379"/>
      <c r="C27" s="94"/>
      <c r="D27" s="379"/>
      <c r="E27" s="638">
        <v>9</v>
      </c>
      <c r="F27" s="109">
        <f>'NOTE (4-12)'!G80+'NOTE (4-12)'!G83</f>
        <v>77661336.140000001</v>
      </c>
      <c r="G27" s="110" cm="1">
        <f t="array" ref="G27">SUM('NOTE (4-12)'!G91:H91+'NOTE (4-12)'!G94:H94)</f>
        <v>59693317</v>
      </c>
      <c r="H27" s="128"/>
    </row>
    <row r="28" spans="1:22" ht="39" customHeight="1" x14ac:dyDescent="0.45">
      <c r="A28" s="633" t="s">
        <v>473</v>
      </c>
      <c r="B28" s="634"/>
      <c r="C28" s="634"/>
      <c r="D28" s="635"/>
      <c r="E28" s="638"/>
      <c r="F28" s="109">
        <f>'NOTE (4-12)'!G81</f>
        <v>19455513.579999998</v>
      </c>
      <c r="G28" s="110">
        <f>'NOTE (4-12)'!G92:H92</f>
        <v>22190924</v>
      </c>
      <c r="H28" s="128"/>
    </row>
    <row r="29" spans="1:22" x14ac:dyDescent="0.45">
      <c r="A29" s="378" t="s">
        <v>80</v>
      </c>
      <c r="B29" s="379"/>
      <c r="C29" s="379"/>
      <c r="D29" s="379"/>
      <c r="E29" s="277">
        <v>10</v>
      </c>
      <c r="F29" s="109">
        <f>'NOTE (4-12)'!E112</f>
        <v>60516717.369999997</v>
      </c>
      <c r="G29" s="110">
        <f>'NOTE (4-12)'!F112</f>
        <v>73762050.680000007</v>
      </c>
      <c r="H29" s="128"/>
    </row>
    <row r="30" spans="1:22" x14ac:dyDescent="0.45">
      <c r="A30" s="378" t="s">
        <v>81</v>
      </c>
      <c r="B30" s="379"/>
      <c r="C30" s="379"/>
      <c r="D30" s="379"/>
      <c r="E30" s="277">
        <v>11</v>
      </c>
      <c r="F30" s="109">
        <f>'NOTE (4-12)'!E120</f>
        <v>25114846</v>
      </c>
      <c r="G30" s="110">
        <f>+'NOTE (4-12)'!F120</f>
        <v>16942772</v>
      </c>
      <c r="H30" s="128"/>
    </row>
    <row r="31" spans="1:22" x14ac:dyDescent="0.45">
      <c r="A31" s="378"/>
      <c r="B31" s="379"/>
      <c r="C31" s="379"/>
      <c r="D31" s="379"/>
      <c r="E31" s="166"/>
      <c r="F31" s="109"/>
      <c r="G31" s="108"/>
    </row>
    <row r="32" spans="1:22" ht="19.5" thickBot="1" x14ac:dyDescent="0.5">
      <c r="A32" s="378"/>
      <c r="B32" s="618" t="s">
        <v>24</v>
      </c>
      <c r="C32" s="618"/>
      <c r="D32" s="379"/>
      <c r="E32" s="113"/>
      <c r="F32" s="145">
        <f>SUM(F13:F31)+1</f>
        <v>414294433.88881254</v>
      </c>
      <c r="G32" s="145">
        <f>SUM(G13:G31)</f>
        <v>674509705.46999979</v>
      </c>
    </row>
    <row r="33" spans="1:13" ht="19.5" thickTop="1" x14ac:dyDescent="0.45">
      <c r="A33" s="378"/>
      <c r="B33" s="379"/>
      <c r="C33" s="379"/>
      <c r="D33" s="379"/>
      <c r="E33" s="166"/>
      <c r="F33" s="280"/>
      <c r="G33" s="276"/>
    </row>
    <row r="34" spans="1:13" x14ac:dyDescent="0.45">
      <c r="A34" s="273" t="s">
        <v>3</v>
      </c>
      <c r="B34" s="379"/>
      <c r="C34" s="379"/>
      <c r="D34" s="379"/>
      <c r="E34" s="166"/>
      <c r="F34" s="166"/>
      <c r="G34" s="276"/>
      <c r="H34" s="276"/>
    </row>
    <row r="35" spans="1:13" x14ac:dyDescent="0.45">
      <c r="A35" s="273"/>
      <c r="B35" s="379"/>
      <c r="C35" s="379"/>
      <c r="D35" s="379"/>
      <c r="E35" s="166"/>
      <c r="F35" s="166"/>
      <c r="G35" s="276"/>
    </row>
    <row r="36" spans="1:13" x14ac:dyDescent="0.45">
      <c r="A36" s="394" t="s">
        <v>82</v>
      </c>
      <c r="B36" s="379"/>
      <c r="C36" s="379"/>
      <c r="D36" s="379"/>
      <c r="E36" s="277"/>
      <c r="F36" s="166" t="s">
        <v>1</v>
      </c>
      <c r="G36" s="276"/>
    </row>
    <row r="37" spans="1:13" x14ac:dyDescent="0.45">
      <c r="A37" s="378" t="s">
        <v>83</v>
      </c>
      <c r="B37" s="379"/>
      <c r="C37" s="379"/>
      <c r="D37" s="379"/>
      <c r="E37" s="638">
        <v>12</v>
      </c>
      <c r="F37" s="166"/>
      <c r="G37" s="276"/>
      <c r="H37" s="128"/>
    </row>
    <row r="38" spans="1:13" x14ac:dyDescent="0.45">
      <c r="A38" s="378" t="s">
        <v>84</v>
      </c>
      <c r="B38" s="379"/>
      <c r="C38" s="379"/>
      <c r="D38" s="379"/>
      <c r="E38" s="638"/>
      <c r="F38" s="110">
        <f>'Note 12 (PPE)'!J20+'Note 12 (PPE)'!J33</f>
        <v>255047599.70818838</v>
      </c>
      <c r="G38" s="110">
        <v>242430740</v>
      </c>
      <c r="H38" s="128"/>
      <c r="I38" s="110"/>
    </row>
    <row r="39" spans="1:13" x14ac:dyDescent="0.45">
      <c r="A39" s="378" t="s">
        <v>85</v>
      </c>
      <c r="B39" s="379"/>
      <c r="C39" s="379"/>
      <c r="D39" s="379"/>
      <c r="E39" s="638"/>
      <c r="F39" s="110">
        <f>'Note 12 (PPE)'!J28</f>
        <v>263586.7086768297</v>
      </c>
      <c r="G39" s="109">
        <v>341760</v>
      </c>
      <c r="H39" s="128"/>
    </row>
    <row r="40" spans="1:13" x14ac:dyDescent="0.45">
      <c r="A40" s="378" t="s">
        <v>721</v>
      </c>
      <c r="B40" s="379"/>
      <c r="C40" s="379"/>
      <c r="D40" s="379"/>
      <c r="E40" s="277">
        <v>13</v>
      </c>
      <c r="F40" s="110">
        <f>'13.CWIP'!F14</f>
        <v>2163233.59</v>
      </c>
      <c r="G40" s="110">
        <f>'13.CWIP'!F15</f>
        <v>935397.77</v>
      </c>
      <c r="H40" s="128"/>
    </row>
    <row r="41" spans="1:13" x14ac:dyDescent="0.45">
      <c r="A41" s="378" t="s">
        <v>87</v>
      </c>
      <c r="B41" s="379"/>
      <c r="C41" s="379"/>
      <c r="D41" s="379"/>
      <c r="E41" s="277">
        <v>14</v>
      </c>
      <c r="F41" s="110">
        <f>'Note (13-20)'!F16</f>
        <v>4380144.5</v>
      </c>
      <c r="G41" s="109">
        <f>'Note (13-20)'!G16</f>
        <v>4380145.5</v>
      </c>
      <c r="H41" s="128"/>
    </row>
    <row r="42" spans="1:13" x14ac:dyDescent="0.45">
      <c r="A42" s="378" t="s">
        <v>312</v>
      </c>
      <c r="B42" s="379"/>
      <c r="C42" s="379"/>
      <c r="D42" s="379"/>
      <c r="E42" s="277">
        <v>15</v>
      </c>
      <c r="F42" s="110">
        <f>'Note (13-20)'!F25</f>
        <v>21449619.800000001</v>
      </c>
      <c r="G42" s="109">
        <f>'Note (13-20)'!G25</f>
        <v>21967668.800000001</v>
      </c>
      <c r="H42" s="128"/>
    </row>
    <row r="43" spans="1:13" x14ac:dyDescent="0.45">
      <c r="A43" s="394"/>
      <c r="B43" s="379"/>
      <c r="C43" s="379"/>
      <c r="D43" s="379"/>
      <c r="E43" s="277"/>
      <c r="F43" s="110"/>
      <c r="G43" s="109"/>
    </row>
    <row r="44" spans="1:13" x14ac:dyDescent="0.45">
      <c r="A44" s="394" t="s">
        <v>86</v>
      </c>
      <c r="B44" s="379"/>
      <c r="C44" s="379"/>
      <c r="D44" s="379"/>
      <c r="E44" s="277"/>
      <c r="F44" s="110"/>
      <c r="G44" s="109"/>
    </row>
    <row r="45" spans="1:13" x14ac:dyDescent="0.45">
      <c r="A45" s="378" t="s">
        <v>89</v>
      </c>
      <c r="B45" s="379"/>
      <c r="C45" s="379"/>
      <c r="D45" s="379"/>
      <c r="E45" s="277">
        <v>16</v>
      </c>
      <c r="F45" s="110">
        <f>+'Note (13-20)'!F34</f>
        <v>207425002.26999998</v>
      </c>
      <c r="G45" s="109">
        <f>+'Note (13-20)'!G34</f>
        <v>122756824.69</v>
      </c>
      <c r="H45" s="128"/>
    </row>
    <row r="46" spans="1:13" x14ac:dyDescent="0.45">
      <c r="A46" s="378" t="s">
        <v>88</v>
      </c>
      <c r="B46" s="379"/>
      <c r="C46" s="379"/>
      <c r="D46" s="379"/>
      <c r="E46" s="277">
        <v>17</v>
      </c>
      <c r="F46" s="109">
        <f>'Note (13-20)'!H46</f>
        <v>253454230.66000003</v>
      </c>
      <c r="G46" s="109">
        <f>'Note (13-20)'!H56</f>
        <v>208083527</v>
      </c>
      <c r="H46" s="128"/>
      <c r="M46" s="402"/>
    </row>
    <row r="47" spans="1:13" x14ac:dyDescent="0.45">
      <c r="A47" s="378" t="s">
        <v>90</v>
      </c>
      <c r="B47" s="379"/>
      <c r="C47" s="379"/>
      <c r="D47" s="379"/>
      <c r="E47" s="277">
        <v>18</v>
      </c>
      <c r="F47" s="110">
        <f>+'Note (13-20)'!F63</f>
        <v>44416</v>
      </c>
      <c r="G47" s="109">
        <f>+'Note (13-20)'!G63</f>
        <v>48289.55</v>
      </c>
      <c r="H47" s="128"/>
    </row>
    <row r="48" spans="1:13" x14ac:dyDescent="0.45">
      <c r="A48" s="378" t="s">
        <v>314</v>
      </c>
      <c r="B48" s="379"/>
      <c r="C48" s="379"/>
      <c r="D48" s="379"/>
      <c r="E48" s="277">
        <v>19</v>
      </c>
      <c r="F48" s="110">
        <f>'Note (13-20)'!F72</f>
        <v>56735251.160000004</v>
      </c>
      <c r="G48" s="110">
        <f>'Note (13-20)'!G72</f>
        <v>37355941.109999999</v>
      </c>
      <c r="H48" s="128"/>
    </row>
    <row r="49" spans="1:8" x14ac:dyDescent="0.45">
      <c r="A49" s="378" t="s">
        <v>91</v>
      </c>
      <c r="B49" s="379"/>
      <c r="C49" s="379"/>
      <c r="D49" s="379"/>
      <c r="E49" s="277">
        <v>20</v>
      </c>
      <c r="F49" s="110">
        <f>+'Note (13-20)'!F88</f>
        <v>42312004.149999999</v>
      </c>
      <c r="G49" s="109">
        <f>+'Note (13-20)'!G88-4</f>
        <v>36209410.029999994</v>
      </c>
      <c r="H49" s="128"/>
    </row>
    <row r="50" spans="1:8" x14ac:dyDescent="0.45">
      <c r="A50" s="378"/>
      <c r="B50" s="379"/>
      <c r="C50" s="379"/>
      <c r="D50" s="379"/>
      <c r="E50" s="277"/>
      <c r="F50" s="110"/>
      <c r="G50" s="109"/>
      <c r="H50" s="128"/>
    </row>
    <row r="51" spans="1:8" ht="19.5" thickBot="1" x14ac:dyDescent="0.5">
      <c r="A51" s="378"/>
      <c r="B51" s="618" t="s">
        <v>24</v>
      </c>
      <c r="C51" s="618"/>
      <c r="D51" s="379"/>
      <c r="E51" s="277"/>
      <c r="F51" s="114">
        <f>(SUM(F37:F49))</f>
        <v>843275088.54686522</v>
      </c>
      <c r="G51" s="145">
        <f>SUM(G37:G49)+1</f>
        <v>674509705.44999993</v>
      </c>
    </row>
    <row r="52" spans="1:8" ht="19.5" thickTop="1" x14ac:dyDescent="0.45">
      <c r="A52" s="349"/>
      <c r="B52" s="350"/>
      <c r="C52" s="350"/>
      <c r="D52" s="350"/>
      <c r="E52" s="610"/>
      <c r="F52" s="281"/>
      <c r="G52" s="281"/>
      <c r="H52" s="198"/>
    </row>
    <row r="53" spans="1:8" x14ac:dyDescent="0.45">
      <c r="A53" s="403"/>
      <c r="B53" s="379"/>
      <c r="C53" s="379"/>
      <c r="D53" s="379"/>
      <c r="E53" s="379"/>
      <c r="F53" s="379"/>
      <c r="G53" s="379"/>
    </row>
    <row r="54" spans="1:8" x14ac:dyDescent="0.45">
      <c r="A54" s="131" t="s">
        <v>92</v>
      </c>
      <c r="B54" s="379"/>
      <c r="C54" s="379"/>
      <c r="D54" s="379"/>
      <c r="E54" s="379"/>
      <c r="F54" s="379"/>
      <c r="G54" s="379"/>
    </row>
    <row r="55" spans="1:8" s="404" customFormat="1" x14ac:dyDescent="0.45">
      <c r="A55" s="131" t="s">
        <v>366</v>
      </c>
      <c r="B55" s="282"/>
      <c r="C55" s="282"/>
      <c r="D55" s="282"/>
      <c r="E55" s="282"/>
      <c r="F55" s="282"/>
      <c r="G55" s="282"/>
    </row>
    <row r="56" spans="1:8" x14ac:dyDescent="0.45">
      <c r="B56" s="379"/>
      <c r="C56" s="379"/>
      <c r="D56" s="379"/>
      <c r="E56" s="379"/>
      <c r="F56" s="379"/>
      <c r="G56" s="379"/>
    </row>
    <row r="57" spans="1:8" x14ac:dyDescent="0.45">
      <c r="A57" s="131" t="s">
        <v>66</v>
      </c>
      <c r="B57" s="379"/>
      <c r="C57" s="379"/>
      <c r="D57" s="379"/>
      <c r="E57" s="379"/>
      <c r="F57" s="379"/>
      <c r="G57" s="379"/>
    </row>
    <row r="58" spans="1:8" ht="18.75" customHeight="1" x14ac:dyDescent="0.45">
      <c r="A58" s="392" t="s">
        <v>852</v>
      </c>
      <c r="B58" s="379"/>
      <c r="C58" s="379"/>
      <c r="E58" s="631" t="s">
        <v>268</v>
      </c>
      <c r="F58" s="631"/>
      <c r="G58" s="405"/>
    </row>
    <row r="59" spans="1:8" ht="18.75" customHeight="1" x14ac:dyDescent="0.45">
      <c r="A59" s="392" t="s">
        <v>94</v>
      </c>
      <c r="B59" s="379"/>
      <c r="C59" s="379"/>
      <c r="E59" s="608"/>
      <c r="F59" s="608"/>
      <c r="G59" s="405"/>
    </row>
    <row r="60" spans="1:8" ht="18.75" customHeight="1" x14ac:dyDescent="0.45">
      <c r="A60" s="392" t="s">
        <v>853</v>
      </c>
      <c r="B60" s="94"/>
      <c r="C60" s="94"/>
      <c r="E60" s="613" t="s">
        <v>849</v>
      </c>
      <c r="F60" s="613"/>
      <c r="G60" s="613"/>
    </row>
    <row r="61" spans="1:8" x14ac:dyDescent="0.45">
      <c r="B61" s="379"/>
      <c r="C61" s="379"/>
      <c r="D61" s="379"/>
      <c r="E61" s="613"/>
      <c r="F61" s="613"/>
      <c r="G61" s="613"/>
    </row>
    <row r="62" spans="1:8" x14ac:dyDescent="0.45">
      <c r="A62" s="392"/>
      <c r="B62" s="379"/>
      <c r="D62" s="379"/>
      <c r="E62" s="379"/>
      <c r="F62" s="379"/>
      <c r="G62" s="379"/>
    </row>
    <row r="63" spans="1:8" x14ac:dyDescent="0.45">
      <c r="A63" s="392"/>
      <c r="B63" s="379"/>
      <c r="E63" s="183"/>
      <c r="G63" s="379"/>
    </row>
    <row r="64" spans="1:8" x14ac:dyDescent="0.45">
      <c r="A64" s="392" t="s">
        <v>854</v>
      </c>
      <c r="B64" s="379"/>
      <c r="E64" s="392" t="s">
        <v>857</v>
      </c>
      <c r="G64" s="392" t="s">
        <v>857</v>
      </c>
    </row>
    <row r="65" spans="1:7" x14ac:dyDescent="0.45">
      <c r="A65" s="392" t="s">
        <v>93</v>
      </c>
      <c r="B65" s="379"/>
      <c r="E65" s="392" t="s">
        <v>95</v>
      </c>
      <c r="G65" s="392" t="s">
        <v>95</v>
      </c>
    </row>
    <row r="66" spans="1:7" x14ac:dyDescent="0.45">
      <c r="A66" s="392" t="s">
        <v>855</v>
      </c>
      <c r="B66" s="379"/>
      <c r="E66" s="392" t="s">
        <v>859</v>
      </c>
      <c r="G66" s="128" t="s">
        <v>858</v>
      </c>
    </row>
    <row r="67" spans="1:7" x14ac:dyDescent="0.45">
      <c r="A67" s="392" t="s">
        <v>467</v>
      </c>
      <c r="B67" s="379"/>
      <c r="E67" s="392" t="str">
        <f>A67</f>
        <v xml:space="preserve">Date  : </v>
      </c>
      <c r="G67" s="392" t="str">
        <f>A67</f>
        <v xml:space="preserve">Date  : </v>
      </c>
    </row>
    <row r="68" spans="1:7" x14ac:dyDescent="0.45">
      <c r="A68" s="392" t="s">
        <v>856</v>
      </c>
      <c r="B68" s="379"/>
      <c r="E68" s="392" t="s">
        <v>860</v>
      </c>
      <c r="G68" s="392" t="str">
        <f>+E68</f>
        <v xml:space="preserve">Place : </v>
      </c>
    </row>
    <row r="69" spans="1:7" x14ac:dyDescent="0.45">
      <c r="A69" s="392" t="s">
        <v>743</v>
      </c>
      <c r="B69" s="379"/>
    </row>
    <row r="70" spans="1:7" x14ac:dyDescent="0.45">
      <c r="A70" s="392"/>
      <c r="B70" s="379"/>
    </row>
    <row r="71" spans="1:7" x14ac:dyDescent="0.45">
      <c r="A71" s="129"/>
      <c r="B71" s="94"/>
      <c r="E71" s="392"/>
      <c r="G71" s="392"/>
    </row>
    <row r="72" spans="1:7" x14ac:dyDescent="0.45">
      <c r="A72" s="129"/>
      <c r="B72" s="94"/>
      <c r="E72" s="392" t="s">
        <v>791</v>
      </c>
      <c r="G72" s="392" t="s">
        <v>790</v>
      </c>
    </row>
    <row r="73" spans="1:7" x14ac:dyDescent="0.45">
      <c r="A73" s="129"/>
      <c r="B73" s="94"/>
    </row>
    <row r="74" spans="1:7" ht="18" customHeight="1" x14ac:dyDescent="0.45">
      <c r="A74" s="636" t="str">
        <f>A2</f>
        <v>ABC INDIA LIMITED</v>
      </c>
      <c r="B74" s="636"/>
      <c r="C74" s="636"/>
      <c r="D74" s="636"/>
      <c r="E74" s="636"/>
      <c r="F74" s="636"/>
      <c r="G74" s="636"/>
    </row>
    <row r="75" spans="1:7" ht="30" customHeight="1" x14ac:dyDescent="0.45">
      <c r="A75" s="636"/>
      <c r="B75" s="636"/>
      <c r="C75" s="636"/>
      <c r="D75" s="636"/>
      <c r="E75" s="636"/>
      <c r="F75" s="636"/>
      <c r="G75" s="636"/>
    </row>
    <row r="76" spans="1:7" x14ac:dyDescent="0.45">
      <c r="A76" s="637" t="s">
        <v>766</v>
      </c>
      <c r="B76" s="637"/>
      <c r="C76" s="637"/>
      <c r="D76" s="637"/>
      <c r="E76" s="637"/>
      <c r="F76" s="637"/>
      <c r="G76" s="637"/>
    </row>
    <row r="77" spans="1:7" x14ac:dyDescent="0.45">
      <c r="A77" s="637" t="s">
        <v>851</v>
      </c>
      <c r="B77" s="637"/>
      <c r="C77" s="637"/>
      <c r="D77" s="637"/>
      <c r="E77" s="637"/>
      <c r="F77" s="637"/>
      <c r="G77" s="637"/>
    </row>
    <row r="78" spans="1:7" x14ac:dyDescent="0.45">
      <c r="A78" s="607"/>
      <c r="B78" s="607"/>
      <c r="C78" s="607"/>
      <c r="D78" s="607"/>
      <c r="E78" s="607"/>
      <c r="F78" s="607"/>
      <c r="G78" s="607"/>
    </row>
    <row r="79" spans="1:7" ht="21" thickBot="1" x14ac:dyDescent="0.5">
      <c r="A79" s="639" t="s">
        <v>792</v>
      </c>
      <c r="B79" s="639"/>
      <c r="C79" s="639"/>
      <c r="D79" s="639"/>
      <c r="E79" s="639"/>
      <c r="F79" s="639"/>
      <c r="G79" s="639"/>
    </row>
    <row r="80" spans="1:7" ht="28.5" customHeight="1" thickTop="1" x14ac:dyDescent="0.45">
      <c r="A80" s="279"/>
      <c r="B80" s="279"/>
      <c r="C80" s="279"/>
      <c r="D80" s="279"/>
      <c r="E80" s="279"/>
      <c r="F80" s="279"/>
      <c r="G80" s="183"/>
    </row>
    <row r="81" spans="1:8" ht="18.75" customHeight="1" x14ac:dyDescent="0.45">
      <c r="A81" s="622"/>
      <c r="B81" s="623"/>
      <c r="C81" s="623"/>
      <c r="D81" s="624"/>
      <c r="E81" s="614" t="s">
        <v>70</v>
      </c>
      <c r="F81" s="620" t="s">
        <v>793</v>
      </c>
      <c r="G81" s="614" t="s">
        <v>794</v>
      </c>
    </row>
    <row r="82" spans="1:8" x14ac:dyDescent="0.45">
      <c r="A82" s="625"/>
      <c r="B82" s="626"/>
      <c r="C82" s="626"/>
      <c r="D82" s="627"/>
      <c r="E82" s="615"/>
      <c r="F82" s="621"/>
      <c r="G82" s="615"/>
    </row>
    <row r="83" spans="1:8" ht="21.75" customHeight="1" x14ac:dyDescent="0.45">
      <c r="A83" s="394" t="s">
        <v>322</v>
      </c>
      <c r="B83" s="379"/>
      <c r="C83" s="379"/>
      <c r="D83" s="276"/>
      <c r="E83" s="277">
        <v>21</v>
      </c>
      <c r="F83" s="110">
        <f>'Note 20-31'!C11</f>
        <v>1000848780.1800001</v>
      </c>
      <c r="G83" s="109">
        <f>+'Note 20-31'!D11</f>
        <v>1046523452.4699999</v>
      </c>
      <c r="H83" s="128"/>
    </row>
    <row r="84" spans="1:8" x14ac:dyDescent="0.45">
      <c r="A84" s="394" t="s">
        <v>321</v>
      </c>
      <c r="B84" s="379"/>
      <c r="C84" s="379"/>
      <c r="D84" s="276"/>
      <c r="E84" s="277">
        <v>22</v>
      </c>
      <c r="F84" s="110">
        <f>+'Note 20-31'!C23</f>
        <v>9033712.4600000009</v>
      </c>
      <c r="G84" s="109">
        <f>+'Note 20-31'!D23</f>
        <v>2016242</v>
      </c>
      <c r="H84" s="128"/>
    </row>
    <row r="85" spans="1:8" x14ac:dyDescent="0.45">
      <c r="A85" s="378"/>
      <c r="B85" s="379"/>
      <c r="D85" s="276"/>
      <c r="E85" s="166"/>
      <c r="F85" s="108"/>
      <c r="G85" s="108"/>
    </row>
    <row r="86" spans="1:8" ht="19.5" thickBot="1" x14ac:dyDescent="0.5">
      <c r="A86" s="617" t="s">
        <v>106</v>
      </c>
      <c r="B86" s="618"/>
      <c r="C86" s="618"/>
      <c r="D86" s="619"/>
      <c r="E86" s="277"/>
      <c r="F86" s="283">
        <f>SUM(F83:F84)-0.01</f>
        <v>1009882492.6300001</v>
      </c>
      <c r="G86" s="407">
        <f>SUM(G83:G84)</f>
        <v>1048539694.4699999</v>
      </c>
    </row>
    <row r="87" spans="1:8" x14ac:dyDescent="0.45">
      <c r="A87" s="394" t="s">
        <v>323</v>
      </c>
      <c r="B87" s="379"/>
      <c r="C87" s="379"/>
      <c r="D87" s="276"/>
      <c r="E87" s="166"/>
      <c r="F87" s="110"/>
      <c r="G87" s="109"/>
    </row>
    <row r="88" spans="1:8" x14ac:dyDescent="0.45">
      <c r="A88" s="378" t="s">
        <v>100</v>
      </c>
      <c r="B88" s="379"/>
      <c r="C88" s="379"/>
      <c r="D88" s="276"/>
      <c r="E88" s="277">
        <v>23</v>
      </c>
      <c r="F88" s="110">
        <f>'Note 20-31'!C34</f>
        <v>369081628.38611513</v>
      </c>
      <c r="G88" s="109">
        <f>+'Note 20-31'!D34</f>
        <v>496246708.79000002</v>
      </c>
      <c r="H88" s="128"/>
    </row>
    <row r="89" spans="1:8" x14ac:dyDescent="0.45">
      <c r="A89" s="378" t="s">
        <v>101</v>
      </c>
      <c r="B89" s="379"/>
      <c r="C89" s="379"/>
      <c r="D89" s="276"/>
      <c r="E89" s="277">
        <v>24</v>
      </c>
      <c r="F89" s="110">
        <f>'Note 20-31'!C42</f>
        <v>177768434.67000002</v>
      </c>
      <c r="G89" s="109">
        <f>+'Note 20-31'!D42</f>
        <v>95333035.520000011</v>
      </c>
      <c r="H89" s="128"/>
    </row>
    <row r="90" spans="1:8" x14ac:dyDescent="0.45">
      <c r="A90" s="378" t="s">
        <v>102</v>
      </c>
      <c r="B90" s="379"/>
      <c r="C90" s="379"/>
      <c r="D90" s="276"/>
      <c r="E90" s="113"/>
      <c r="F90" s="109"/>
      <c r="G90" s="109"/>
      <c r="H90" s="128"/>
    </row>
    <row r="91" spans="1:8" x14ac:dyDescent="0.45">
      <c r="A91" s="378" t="s">
        <v>103</v>
      </c>
      <c r="B91" s="379"/>
      <c r="C91" s="379"/>
      <c r="D91" s="276"/>
      <c r="E91" s="616">
        <v>25</v>
      </c>
      <c r="F91" s="218">
        <f>'Note 20-31'!C50-'Note 20-31'!C56</f>
        <v>-35831602.829999998</v>
      </c>
      <c r="G91" s="110">
        <f>'Note 20-31'!D50-'Note 20-31'!D56</f>
        <v>-5925090.9100000039</v>
      </c>
      <c r="H91" s="128"/>
    </row>
    <row r="92" spans="1:8" x14ac:dyDescent="0.45">
      <c r="A92" s="378" t="s">
        <v>104</v>
      </c>
      <c r="B92" s="379"/>
      <c r="C92" s="379"/>
      <c r="D92" s="276"/>
      <c r="E92" s="616"/>
      <c r="F92" s="218">
        <f>'Note 20-31'!C52-'Note 20-31'!C58</f>
        <v>-45108851.349999994</v>
      </c>
      <c r="G92" s="110">
        <f>'Note 20-31'!D52-'Note 20-31'!D58</f>
        <v>-30580074.460000008</v>
      </c>
      <c r="H92" s="128"/>
    </row>
    <row r="93" spans="1:8" x14ac:dyDescent="0.45">
      <c r="A93" s="378" t="s">
        <v>837</v>
      </c>
      <c r="B93" s="379"/>
      <c r="C93" s="379"/>
      <c r="D93" s="276"/>
      <c r="E93" s="609"/>
      <c r="F93" s="218">
        <f>'Note 20-31'!C51-'Note 20-31'!C57</f>
        <v>-2735891.4361151247</v>
      </c>
      <c r="G93" s="109">
        <v>0</v>
      </c>
      <c r="H93" s="128"/>
    </row>
    <row r="94" spans="1:8" x14ac:dyDescent="0.45">
      <c r="A94" s="378" t="s">
        <v>98</v>
      </c>
      <c r="B94" s="379"/>
      <c r="C94" s="379"/>
      <c r="D94" s="276"/>
      <c r="E94" s="277">
        <v>28</v>
      </c>
      <c r="F94" s="218">
        <f>+'Note 20-31'!C116</f>
        <v>44288845.770000003</v>
      </c>
      <c r="G94" s="109">
        <f>+'Note 20-31'!D116</f>
        <v>36351752.229999997</v>
      </c>
      <c r="H94" s="128"/>
    </row>
    <row r="95" spans="1:8" x14ac:dyDescent="0.45">
      <c r="A95" s="378" t="s">
        <v>108</v>
      </c>
      <c r="B95" s="379"/>
      <c r="C95" s="379"/>
      <c r="D95" s="276"/>
      <c r="E95" s="277">
        <f>E37</f>
        <v>12</v>
      </c>
      <c r="F95" s="218">
        <f>'Note 12 (PPE)'!G36-'Note 12 (PPE)'!H36</f>
        <v>15899307.492163278</v>
      </c>
      <c r="G95" s="109">
        <v>14218230</v>
      </c>
      <c r="H95" s="128"/>
    </row>
    <row r="96" spans="1:8" x14ac:dyDescent="0.45">
      <c r="A96" s="378" t="s">
        <v>105</v>
      </c>
      <c r="B96" s="379"/>
      <c r="C96" s="379"/>
      <c r="D96" s="276"/>
      <c r="E96" s="277">
        <v>26</v>
      </c>
      <c r="F96" s="110">
        <f>+'Note 20-31'!C71</f>
        <v>126967286.28</v>
      </c>
      <c r="G96" s="109">
        <f>+'Note 20-31'!D71</f>
        <v>102380775.72</v>
      </c>
      <c r="H96" s="128"/>
    </row>
    <row r="97" spans="1:8" x14ac:dyDescent="0.45">
      <c r="A97" s="378" t="s">
        <v>99</v>
      </c>
      <c r="B97" s="379"/>
      <c r="C97" s="379"/>
      <c r="D97" s="276"/>
      <c r="E97" s="277">
        <v>27</v>
      </c>
      <c r="F97" s="110">
        <f>'Note 20-31'!C93</f>
        <v>269471396.14000005</v>
      </c>
      <c r="G97" s="109">
        <f>'Note 20-31'!D93</f>
        <v>263856035.55000001</v>
      </c>
      <c r="H97" s="128"/>
    </row>
    <row r="98" spans="1:8" x14ac:dyDescent="0.45">
      <c r="A98" s="378"/>
      <c r="B98" s="379"/>
      <c r="C98" s="379"/>
      <c r="D98" s="276"/>
      <c r="E98" s="277"/>
      <c r="F98" s="134"/>
      <c r="G98" s="285"/>
      <c r="H98" s="128"/>
    </row>
    <row r="99" spans="1:8" x14ac:dyDescent="0.45">
      <c r="A99" s="617" t="s">
        <v>107</v>
      </c>
      <c r="B99" s="618"/>
      <c r="C99" s="618"/>
      <c r="D99" s="619"/>
      <c r="E99" s="277"/>
      <c r="F99" s="112">
        <f>SUM(F88:F97)</f>
        <v>919800553.1221633</v>
      </c>
      <c r="G99" s="408">
        <f>SUM(G88:G97)-1</f>
        <v>971881371.44000006</v>
      </c>
      <c r="H99" s="128"/>
    </row>
    <row r="100" spans="1:8" x14ac:dyDescent="0.45">
      <c r="A100" s="646" t="s">
        <v>845</v>
      </c>
      <c r="B100" s="647"/>
      <c r="C100" s="647"/>
      <c r="D100" s="648"/>
      <c r="E100" s="277"/>
      <c r="F100" s="112">
        <f>F86-F99</f>
        <v>90081939.507836819</v>
      </c>
      <c r="G100" s="408">
        <f>G86-G99</f>
        <v>76658323.029999852</v>
      </c>
      <c r="H100" s="128"/>
    </row>
    <row r="101" spans="1:8" x14ac:dyDescent="0.45">
      <c r="A101" s="378" t="s">
        <v>834</v>
      </c>
      <c r="D101" s="276"/>
      <c r="F101" s="110">
        <v>3996796.43</v>
      </c>
      <c r="G101" s="110">
        <v>0</v>
      </c>
      <c r="H101" s="128"/>
    </row>
    <row r="102" spans="1:8" x14ac:dyDescent="0.45">
      <c r="A102" s="129"/>
      <c r="D102" s="276"/>
      <c r="F102" s="110"/>
      <c r="G102" s="110"/>
      <c r="H102" s="128"/>
    </row>
    <row r="103" spans="1:8" ht="19.5" customHeight="1" thickBot="1" x14ac:dyDescent="0.5">
      <c r="A103" s="628" t="s">
        <v>245</v>
      </c>
      <c r="B103" s="629"/>
      <c r="C103" s="629"/>
      <c r="D103" s="630"/>
      <c r="E103" s="409"/>
      <c r="F103" s="145">
        <f>F100-F101-F102</f>
        <v>86085143.077836812</v>
      </c>
      <c r="G103" s="145">
        <f>G100-G101-G102</f>
        <v>76658323.029999852</v>
      </c>
    </row>
    <row r="104" spans="1:8" ht="19.5" thickTop="1" x14ac:dyDescent="0.45">
      <c r="A104" s="378" t="s">
        <v>4</v>
      </c>
      <c r="B104" s="379"/>
      <c r="C104" s="379"/>
      <c r="D104" s="276"/>
      <c r="E104" s="277"/>
      <c r="F104" s="284">
        <v>0</v>
      </c>
      <c r="G104" s="410">
        <v>0</v>
      </c>
    </row>
    <row r="105" spans="1:8" x14ac:dyDescent="0.45">
      <c r="A105" s="394" t="s">
        <v>246</v>
      </c>
      <c r="D105" s="107"/>
      <c r="E105" s="113"/>
      <c r="F105" s="285">
        <f>F103-F104</f>
        <v>86085143.077836812</v>
      </c>
      <c r="G105" s="285">
        <f>G103-G104</f>
        <v>76658323.029999852</v>
      </c>
    </row>
    <row r="106" spans="1:8" x14ac:dyDescent="0.45">
      <c r="A106" s="378" t="s">
        <v>30</v>
      </c>
      <c r="B106" s="94"/>
      <c r="C106" s="379"/>
      <c r="D106" s="276"/>
      <c r="E106" s="277"/>
      <c r="F106" s="134"/>
      <c r="G106" s="285"/>
    </row>
    <row r="107" spans="1:8" x14ac:dyDescent="0.45">
      <c r="A107" s="378" t="s">
        <v>324</v>
      </c>
      <c r="B107" s="94"/>
      <c r="C107" s="379"/>
      <c r="D107" s="276"/>
      <c r="E107" s="277">
        <v>29</v>
      </c>
      <c r="F107" s="109">
        <f>'Note 20-31'!C124</f>
        <v>23733634.429024078</v>
      </c>
      <c r="G107" s="109">
        <f>'Note 20-31'!D124</f>
        <v>16559164</v>
      </c>
    </row>
    <row r="108" spans="1:8" x14ac:dyDescent="0.45">
      <c r="A108" s="378" t="s">
        <v>795</v>
      </c>
      <c r="B108" s="379"/>
      <c r="C108" s="379"/>
      <c r="D108" s="276"/>
      <c r="E108" s="277">
        <v>6</v>
      </c>
      <c r="F108" s="108">
        <v>914523.89204838639</v>
      </c>
      <c r="G108" s="281">
        <f>'NOTE (4-12)'!E43</f>
        <v>1560524.2516592003</v>
      </c>
    </row>
    <row r="109" spans="1:8" ht="26.25" customHeight="1" thickBot="1" x14ac:dyDescent="0.5">
      <c r="A109" s="339" t="s">
        <v>247</v>
      </c>
      <c r="B109" s="411"/>
      <c r="D109" s="412"/>
      <c r="E109" s="277"/>
      <c r="F109" s="114">
        <f>F105-F107-F108</f>
        <v>61436984.756764345</v>
      </c>
      <c r="G109" s="114">
        <f>G105-G107-G108</f>
        <v>58538634.778340653</v>
      </c>
    </row>
    <row r="110" spans="1:8" ht="37.5" customHeight="1" thickTop="1" x14ac:dyDescent="0.45">
      <c r="A110" s="628" t="s">
        <v>827</v>
      </c>
      <c r="B110" s="632"/>
      <c r="C110" s="632"/>
      <c r="D110" s="630"/>
      <c r="E110" s="277"/>
      <c r="F110" s="286"/>
      <c r="G110" s="286"/>
    </row>
    <row r="111" spans="1:8" x14ac:dyDescent="0.45">
      <c r="A111" s="378" t="s">
        <v>248</v>
      </c>
      <c r="B111" s="413"/>
      <c r="E111" s="277">
        <v>30</v>
      </c>
      <c r="F111" s="287">
        <f>'Note 20-31'!C139</f>
        <v>6.158873941067224</v>
      </c>
      <c r="G111" s="287">
        <f>'Note 20-31'!D139</f>
        <v>352.09938154617367</v>
      </c>
    </row>
    <row r="112" spans="1:8" x14ac:dyDescent="0.45">
      <c r="A112" s="378" t="s">
        <v>249</v>
      </c>
      <c r="B112" s="414"/>
      <c r="C112" s="415"/>
      <c r="D112" s="416"/>
      <c r="E112" s="277">
        <v>30</v>
      </c>
      <c r="F112" s="288">
        <f>'Note 20-31'!C140</f>
        <v>6.158873941067224</v>
      </c>
      <c r="G112" s="288">
        <f>'Note 20-31'!D140</f>
        <v>352.09938154617367</v>
      </c>
    </row>
    <row r="113" spans="1:7" x14ac:dyDescent="0.45">
      <c r="A113" s="403"/>
      <c r="B113" s="379"/>
      <c r="C113" s="379"/>
      <c r="D113" s="379"/>
      <c r="E113" s="348"/>
      <c r="F113" s="379"/>
      <c r="G113" s="379"/>
    </row>
    <row r="114" spans="1:7" x14ac:dyDescent="0.45">
      <c r="A114" s="131" t="s">
        <v>92</v>
      </c>
      <c r="B114" s="379"/>
      <c r="C114" s="379"/>
      <c r="D114" s="379"/>
      <c r="E114" s="379"/>
      <c r="F114" s="379"/>
      <c r="G114" s="379"/>
    </row>
    <row r="115" spans="1:7" x14ac:dyDescent="0.45">
      <c r="A115" s="131" t="str">
        <f>$A$55</f>
        <v>The accompany notes are an integral part of the Financial Statements.</v>
      </c>
      <c r="B115" s="282"/>
      <c r="C115" s="282"/>
      <c r="D115" s="282"/>
      <c r="E115" s="282"/>
      <c r="F115" s="282"/>
      <c r="G115" s="282"/>
    </row>
    <row r="116" spans="1:7" x14ac:dyDescent="0.45">
      <c r="B116" s="379"/>
      <c r="C116" s="379"/>
      <c r="D116" s="379"/>
      <c r="E116" s="379"/>
      <c r="F116" s="379"/>
      <c r="G116" s="379"/>
    </row>
    <row r="117" spans="1:7" x14ac:dyDescent="0.45">
      <c r="A117" s="131" t="s">
        <v>66</v>
      </c>
      <c r="B117" s="379"/>
      <c r="C117" s="379"/>
      <c r="D117" s="379"/>
      <c r="E117" s="379"/>
      <c r="F117" s="379"/>
      <c r="G117" s="379"/>
    </row>
    <row r="118" spans="1:7" ht="18.75" customHeight="1" x14ac:dyDescent="0.45">
      <c r="A118" s="392" t="str">
        <f>A58</f>
        <v>For ABC &amp; Company</v>
      </c>
      <c r="B118" s="379"/>
      <c r="C118" s="379"/>
      <c r="D118" s="405"/>
      <c r="E118" s="631" t="s">
        <v>268</v>
      </c>
      <c r="F118" s="631"/>
      <c r="G118" s="405"/>
    </row>
    <row r="119" spans="1:7" x14ac:dyDescent="0.45">
      <c r="A119" s="392" t="str">
        <f>A59</f>
        <v>Chartered Accountants</v>
      </c>
      <c r="B119" s="94"/>
      <c r="C119" s="94"/>
      <c r="D119" s="405"/>
      <c r="E119" s="613" t="str">
        <f>E60</f>
        <v>ABC INDIA LIMITED</v>
      </c>
      <c r="F119" s="613"/>
      <c r="G119" s="613"/>
    </row>
    <row r="120" spans="1:7" x14ac:dyDescent="0.45">
      <c r="A120" s="392" t="str">
        <f>A60</f>
        <v>F.R. NO.  0XXXXXX</v>
      </c>
      <c r="B120" s="379"/>
      <c r="D120" s="379"/>
      <c r="E120" s="613">
        <f>E61</f>
        <v>0</v>
      </c>
      <c r="F120" s="613"/>
      <c r="G120" s="613"/>
    </row>
    <row r="121" spans="1:7" x14ac:dyDescent="0.45">
      <c r="A121" s="392"/>
      <c r="B121" s="379"/>
      <c r="D121" s="379"/>
      <c r="E121" s="379"/>
      <c r="F121" s="379"/>
      <c r="G121" s="131"/>
    </row>
    <row r="122" spans="1:7" x14ac:dyDescent="0.45">
      <c r="A122" s="392"/>
      <c r="B122" s="379"/>
      <c r="D122" s="379"/>
      <c r="E122" s="379"/>
      <c r="F122" s="379"/>
      <c r="G122" s="131"/>
    </row>
    <row r="123" spans="1:7" x14ac:dyDescent="0.45">
      <c r="A123" s="392"/>
      <c r="B123" s="379"/>
      <c r="D123" s="379"/>
      <c r="E123" s="379"/>
      <c r="F123" s="379"/>
      <c r="G123" s="131"/>
    </row>
    <row r="124" spans="1:7" x14ac:dyDescent="0.45">
      <c r="A124" s="392"/>
      <c r="B124" s="379"/>
      <c r="D124" s="379"/>
      <c r="E124" s="379"/>
      <c r="F124" s="379"/>
      <c r="G124" s="131"/>
    </row>
    <row r="125" spans="1:7" x14ac:dyDescent="0.45">
      <c r="A125" s="392" t="str">
        <f>A64</f>
        <v>Partner Name</v>
      </c>
      <c r="B125" s="379"/>
      <c r="C125" s="379"/>
      <c r="E125" s="392" t="s">
        <v>857</v>
      </c>
      <c r="G125" s="392" t="s">
        <v>857</v>
      </c>
    </row>
    <row r="126" spans="1:7" x14ac:dyDescent="0.45">
      <c r="A126" s="392" t="s">
        <v>93</v>
      </c>
      <c r="B126" s="379"/>
      <c r="E126" s="392" t="s">
        <v>95</v>
      </c>
      <c r="G126" s="392" t="s">
        <v>95</v>
      </c>
    </row>
    <row r="127" spans="1:7" x14ac:dyDescent="0.45">
      <c r="A127" s="392" t="s">
        <v>855</v>
      </c>
      <c r="B127" s="379"/>
      <c r="E127" s="392" t="s">
        <v>859</v>
      </c>
      <c r="G127" s="128" t="s">
        <v>859</v>
      </c>
    </row>
    <row r="128" spans="1:7" x14ac:dyDescent="0.45">
      <c r="A128" s="392" t="str">
        <f>A67</f>
        <v xml:space="preserve">Date  : </v>
      </c>
      <c r="B128" s="379"/>
      <c r="E128" s="392" t="str">
        <f>A128</f>
        <v xml:space="preserve">Date  : </v>
      </c>
      <c r="G128" s="392" t="str">
        <f>A128</f>
        <v xml:space="preserve">Date  : </v>
      </c>
    </row>
    <row r="129" spans="1:7" x14ac:dyDescent="0.45">
      <c r="A129" s="392" t="str">
        <f>+A68</f>
        <v>Place :</v>
      </c>
      <c r="B129" s="94"/>
      <c r="E129" s="392" t="str">
        <f>+E68</f>
        <v xml:space="preserve">Place : </v>
      </c>
      <c r="G129" s="392" t="str">
        <f>E129</f>
        <v xml:space="preserve">Place : </v>
      </c>
    </row>
    <row r="130" spans="1:7" x14ac:dyDescent="0.45">
      <c r="A130" s="392" t="str">
        <f>A69</f>
        <v xml:space="preserve">UDIN : </v>
      </c>
      <c r="B130" s="94"/>
      <c r="D130" s="406"/>
    </row>
    <row r="131" spans="1:7" x14ac:dyDescent="0.45">
      <c r="A131" s="129"/>
    </row>
    <row r="132" spans="1:7" x14ac:dyDescent="0.45">
      <c r="A132" s="129"/>
    </row>
    <row r="133" spans="1:7" x14ac:dyDescent="0.45">
      <c r="A133" s="129"/>
      <c r="E133" s="392"/>
      <c r="G133" s="392"/>
    </row>
    <row r="134" spans="1:7" x14ac:dyDescent="0.45">
      <c r="A134" s="129"/>
      <c r="E134" s="392" t="s">
        <v>791</v>
      </c>
      <c r="G134" s="392" t="s">
        <v>790</v>
      </c>
    </row>
    <row r="135" spans="1:7" x14ac:dyDescent="0.45">
      <c r="A135" s="129"/>
    </row>
    <row r="136" spans="1:7" x14ac:dyDescent="0.45">
      <c r="A136" s="94"/>
      <c r="B136" s="379"/>
      <c r="C136" s="379"/>
      <c r="D136" s="379"/>
      <c r="E136" s="379"/>
      <c r="F136" s="111"/>
      <c r="G136" s="111"/>
    </row>
    <row r="137" spans="1:7" x14ac:dyDescent="0.45">
      <c r="A137" s="94"/>
      <c r="B137" s="392"/>
      <c r="C137" s="94"/>
      <c r="D137" s="94"/>
      <c r="E137" s="379"/>
      <c r="F137" s="128"/>
      <c r="G137" s="128"/>
    </row>
    <row r="138" spans="1:7" x14ac:dyDescent="0.45">
      <c r="A138" s="94"/>
      <c r="B138" s="131"/>
      <c r="C138" s="379"/>
      <c r="D138" s="379"/>
      <c r="E138" s="379"/>
      <c r="F138" s="128"/>
      <c r="G138" s="128"/>
    </row>
    <row r="139" spans="1:7" x14ac:dyDescent="0.45">
      <c r="A139" s="129"/>
    </row>
    <row r="140" spans="1:7" x14ac:dyDescent="0.45">
      <c r="A140" s="129"/>
    </row>
    <row r="141" spans="1:7" x14ac:dyDescent="0.45">
      <c r="A141" s="129"/>
    </row>
    <row r="142" spans="1:7" x14ac:dyDescent="0.45">
      <c r="A142" s="129"/>
    </row>
    <row r="143" spans="1:7" ht="18.75" customHeight="1" x14ac:dyDescent="0.45">
      <c r="A143" s="129"/>
    </row>
    <row r="144" spans="1:7" x14ac:dyDescent="0.45">
      <c r="A144" s="129"/>
    </row>
    <row r="145" spans="1:8" x14ac:dyDescent="0.45">
      <c r="A145" s="129"/>
    </row>
    <row r="146" spans="1:8" x14ac:dyDescent="0.45">
      <c r="A146" s="129"/>
    </row>
    <row r="147" spans="1:8" x14ac:dyDescent="0.45">
      <c r="A147" s="129"/>
    </row>
    <row r="148" spans="1:8" x14ac:dyDescent="0.45">
      <c r="A148" s="129"/>
    </row>
    <row r="149" spans="1:8" x14ac:dyDescent="0.45">
      <c r="A149" s="129"/>
    </row>
    <row r="150" spans="1:8" x14ac:dyDescent="0.45">
      <c r="A150" s="129"/>
    </row>
    <row r="151" spans="1:8" x14ac:dyDescent="0.45">
      <c r="A151" s="129"/>
    </row>
    <row r="152" spans="1:8" x14ac:dyDescent="0.45">
      <c r="A152" s="129"/>
      <c r="H152" s="198"/>
    </row>
    <row r="153" spans="1:8" x14ac:dyDescent="0.45">
      <c r="A153" s="129"/>
    </row>
    <row r="154" spans="1:8" x14ac:dyDescent="0.45">
      <c r="A154" s="129"/>
    </row>
    <row r="155" spans="1:8" x14ac:dyDescent="0.45">
      <c r="A155" s="129"/>
    </row>
    <row r="156" spans="1:8" x14ac:dyDescent="0.45">
      <c r="A156" s="129"/>
    </row>
    <row r="157" spans="1:8" x14ac:dyDescent="0.45">
      <c r="A157" s="129"/>
    </row>
    <row r="158" spans="1:8" ht="18.75" customHeight="1" x14ac:dyDescent="0.45">
      <c r="A158" s="129"/>
    </row>
    <row r="159" spans="1:8" ht="29.25" customHeight="1" x14ac:dyDescent="0.45">
      <c r="A159" s="129"/>
    </row>
    <row r="160" spans="1:8" x14ac:dyDescent="0.45">
      <c r="A160" s="129"/>
    </row>
    <row r="161" spans="1:1" x14ac:dyDescent="0.45">
      <c r="A161" s="129"/>
    </row>
    <row r="162" spans="1:1" x14ac:dyDescent="0.45">
      <c r="A162" s="129"/>
    </row>
    <row r="163" spans="1:1" x14ac:dyDescent="0.45">
      <c r="A163" s="129"/>
    </row>
    <row r="164" spans="1:1" x14ac:dyDescent="0.45">
      <c r="A164" s="129"/>
    </row>
    <row r="165" spans="1:1" x14ac:dyDescent="0.45">
      <c r="A165" s="129"/>
    </row>
    <row r="166" spans="1:1" x14ac:dyDescent="0.45">
      <c r="A166" s="129"/>
    </row>
    <row r="167" spans="1:1" x14ac:dyDescent="0.45">
      <c r="A167" s="129"/>
    </row>
    <row r="168" spans="1:1" ht="18.75" customHeight="1" x14ac:dyDescent="0.45">
      <c r="A168" s="129"/>
    </row>
    <row r="169" spans="1:1" x14ac:dyDescent="0.45">
      <c r="A169" s="129"/>
    </row>
    <row r="170" spans="1:1" x14ac:dyDescent="0.45">
      <c r="A170" s="129"/>
    </row>
    <row r="171" spans="1:1" x14ac:dyDescent="0.45">
      <c r="A171" s="129"/>
    </row>
    <row r="172" spans="1:1" x14ac:dyDescent="0.45">
      <c r="A172" s="129"/>
    </row>
    <row r="173" spans="1:1" x14ac:dyDescent="0.45">
      <c r="A173" s="129"/>
    </row>
    <row r="174" spans="1:1" x14ac:dyDescent="0.45">
      <c r="A174" s="129"/>
    </row>
    <row r="175" spans="1:1" x14ac:dyDescent="0.45">
      <c r="A175" s="129"/>
    </row>
    <row r="198" ht="18.75" customHeight="1" x14ac:dyDescent="0.45"/>
    <row r="209" spans="8:12" ht="18.75" customHeight="1" x14ac:dyDescent="0.45"/>
    <row r="222" spans="8:12" x14ac:dyDescent="0.45">
      <c r="I222" s="417"/>
      <c r="J222" s="417"/>
      <c r="K222" s="417"/>
      <c r="L222" s="417"/>
    </row>
    <row r="223" spans="8:12" x14ac:dyDescent="0.45">
      <c r="H223" s="388"/>
      <c r="I223" s="418"/>
      <c r="J223" s="418"/>
      <c r="K223" s="418"/>
      <c r="L223" s="418"/>
    </row>
    <row r="227" spans="8:8" ht="18.75" customHeight="1" x14ac:dyDescent="0.45"/>
    <row r="231" spans="8:8" ht="40.5" customHeight="1" x14ac:dyDescent="0.45">
      <c r="H231" s="419"/>
    </row>
    <row r="250" ht="47.25" customHeight="1" x14ac:dyDescent="0.45"/>
    <row r="251" ht="19.5" customHeight="1" x14ac:dyDescent="0.45"/>
    <row r="253" ht="11.25" customHeight="1" x14ac:dyDescent="0.45"/>
    <row r="255" ht="13.5" customHeight="1" x14ac:dyDescent="0.45"/>
    <row r="256" ht="4.5" customHeight="1" x14ac:dyDescent="0.45"/>
    <row r="261" ht="49.5" customHeight="1" x14ac:dyDescent="0.45"/>
    <row r="262" ht="43.5" customHeight="1" x14ac:dyDescent="0.45"/>
    <row r="267" ht="45.75" customHeight="1" x14ac:dyDescent="0.45"/>
    <row r="272" ht="84" customHeight="1" x14ac:dyDescent="0.45"/>
  </sheetData>
  <mergeCells count="33">
    <mergeCell ref="E120:G120"/>
    <mergeCell ref="A2:G2"/>
    <mergeCell ref="A3:G3"/>
    <mergeCell ref="G8:G9"/>
    <mergeCell ref="E8:E9"/>
    <mergeCell ref="A4:G4"/>
    <mergeCell ref="F8:F9"/>
    <mergeCell ref="A6:G6"/>
    <mergeCell ref="A8:D9"/>
    <mergeCell ref="A76:G76"/>
    <mergeCell ref="E27:E28"/>
    <mergeCell ref="B51:C51"/>
    <mergeCell ref="B32:C32"/>
    <mergeCell ref="A100:D100"/>
    <mergeCell ref="A79:G79"/>
    <mergeCell ref="A28:D28"/>
    <mergeCell ref="A74:G75"/>
    <mergeCell ref="A77:G77"/>
    <mergeCell ref="E58:F58"/>
    <mergeCell ref="E60:G60"/>
    <mergeCell ref="E37:E39"/>
    <mergeCell ref="E61:G61"/>
    <mergeCell ref="E119:G119"/>
    <mergeCell ref="E81:E82"/>
    <mergeCell ref="E91:E92"/>
    <mergeCell ref="A86:D86"/>
    <mergeCell ref="F81:F82"/>
    <mergeCell ref="G81:G82"/>
    <mergeCell ref="A81:D82"/>
    <mergeCell ref="A103:D103"/>
    <mergeCell ref="A99:D99"/>
    <mergeCell ref="E118:F118"/>
    <mergeCell ref="A110:D110"/>
  </mergeCells>
  <printOptions horizontalCentered="1"/>
  <pageMargins left="0.23622047244094491" right="0.23622047244094491" top="0.19685039370078741" bottom="0.23622047244094491" header="0.31496062992125984" footer="0.15748031496062992"/>
  <pageSetup paperSize="9" scale="57" orientation="portrait" r:id="rId1"/>
  <headerFooter alignWithMargins="0"/>
  <rowBreaks count="3" manualBreakCount="3">
    <brk id="72" max="6" man="1"/>
    <brk id="136" max="6" man="1"/>
    <brk id="165" max="1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2:N82"/>
  <sheetViews>
    <sheetView showGridLines="0" view="pageBreakPreview" topLeftCell="A71" zoomScale="70" zoomScaleNormal="100" zoomScaleSheetLayoutView="70" workbookViewId="0">
      <selection activeCell="D77" sqref="D77:E77"/>
    </sheetView>
  </sheetViews>
  <sheetFormatPr defaultColWidth="9.26953125" defaultRowHeight="19" x14ac:dyDescent="0.45"/>
  <cols>
    <col min="1" max="1" width="5.54296875" style="9" customWidth="1"/>
    <col min="2" max="2" width="80.453125" style="9" customWidth="1"/>
    <col min="3" max="3" width="8.7265625" style="9" customWidth="1"/>
    <col min="4" max="4" width="41.7265625" style="9" customWidth="1"/>
    <col min="5" max="5" width="44.26953125" style="9" customWidth="1"/>
    <col min="6" max="6" width="2.453125" style="9" customWidth="1"/>
    <col min="7" max="7" width="23.453125" style="9" bestFit="1" customWidth="1"/>
    <col min="8" max="8" width="22.453125" style="9" bestFit="1" customWidth="1"/>
    <col min="9" max="9" width="10.54296875" style="9" bestFit="1" customWidth="1"/>
    <col min="10" max="10" width="13.54296875" style="9" bestFit="1" customWidth="1"/>
    <col min="11" max="16384" width="9.26953125" style="9"/>
  </cols>
  <sheetData>
    <row r="2" spans="2:8" ht="52.9" customHeight="1" x14ac:dyDescent="0.5">
      <c r="B2" s="650" t="s">
        <v>861</v>
      </c>
      <c r="C2" s="651"/>
      <c r="D2" s="651"/>
      <c r="E2" s="651"/>
      <c r="F2" s="651"/>
      <c r="G2" s="466"/>
      <c r="H2" s="466"/>
    </row>
    <row r="3" spans="2:8" ht="20.5" x14ac:dyDescent="0.45">
      <c r="B3" s="652" t="str">
        <f>'BS PnL'!A3</f>
        <v xml:space="preserve"> REGD. OFFICE-….................................................................................</v>
      </c>
      <c r="C3" s="652"/>
      <c r="D3" s="652"/>
      <c r="E3" s="652"/>
      <c r="F3" s="543"/>
      <c r="G3" s="466"/>
      <c r="H3" s="466"/>
    </row>
    <row r="4" spans="2:8" x14ac:dyDescent="0.45">
      <c r="B4" s="652" t="s">
        <v>851</v>
      </c>
      <c r="C4" s="652"/>
      <c r="D4" s="652"/>
      <c r="E4" s="652"/>
      <c r="F4" s="544"/>
      <c r="G4" s="544"/>
      <c r="H4" s="466"/>
    </row>
    <row r="5" spans="2:8" x14ac:dyDescent="0.45">
      <c r="B5" s="601"/>
      <c r="C5" s="601"/>
      <c r="D5" s="601"/>
      <c r="E5" s="601"/>
      <c r="F5" s="544"/>
      <c r="G5" s="544"/>
      <c r="H5" s="466"/>
    </row>
    <row r="6" spans="2:8" ht="21" thickBot="1" x14ac:dyDescent="0.5">
      <c r="B6" s="653" t="s">
        <v>824</v>
      </c>
      <c r="C6" s="653"/>
      <c r="D6" s="653"/>
      <c r="E6" s="653"/>
      <c r="F6" s="466"/>
      <c r="G6" s="466"/>
      <c r="H6" s="466"/>
    </row>
    <row r="7" spans="2:8" ht="21" thickTop="1" x14ac:dyDescent="0.45">
      <c r="B7" s="543"/>
      <c r="C7" s="543"/>
      <c r="D7" s="543"/>
      <c r="E7" s="471"/>
      <c r="F7" s="466"/>
      <c r="G7" s="466"/>
      <c r="H7" s="466"/>
    </row>
    <row r="8" spans="2:8" ht="38" x14ac:dyDescent="0.45">
      <c r="B8" s="489" t="s">
        <v>37</v>
      </c>
      <c r="C8" s="490"/>
      <c r="D8" s="490" t="s">
        <v>825</v>
      </c>
      <c r="E8" s="490" t="s">
        <v>826</v>
      </c>
    </row>
    <row r="9" spans="2:8" x14ac:dyDescent="0.45">
      <c r="B9" s="545"/>
      <c r="C9" s="546"/>
      <c r="D9" s="546"/>
      <c r="E9" s="547"/>
    </row>
    <row r="10" spans="2:8" x14ac:dyDescent="0.45">
      <c r="B10" s="548" t="s">
        <v>44</v>
      </c>
      <c r="C10" s="549"/>
      <c r="D10" s="549"/>
      <c r="E10" s="550"/>
    </row>
    <row r="11" spans="2:8" x14ac:dyDescent="0.45">
      <c r="B11" s="551" t="s">
        <v>45</v>
      </c>
      <c r="C11" s="549"/>
      <c r="D11" s="110">
        <f>'BS PnL'!F105</f>
        <v>86085143.077836812</v>
      </c>
      <c r="E11" s="110">
        <v>76658310</v>
      </c>
    </row>
    <row r="12" spans="2:8" x14ac:dyDescent="0.45">
      <c r="B12" s="548" t="s">
        <v>46</v>
      </c>
      <c r="C12" s="549"/>
      <c r="D12" s="110"/>
      <c r="E12" s="110"/>
    </row>
    <row r="13" spans="2:8" x14ac:dyDescent="0.45">
      <c r="B13" s="551" t="s">
        <v>47</v>
      </c>
      <c r="C13" s="549"/>
      <c r="D13" s="110">
        <f>'Note 12 (PPE)'!G36</f>
        <v>15899307.492163278</v>
      </c>
      <c r="E13" s="110">
        <v>14218210</v>
      </c>
    </row>
    <row r="14" spans="2:8" x14ac:dyDescent="0.45">
      <c r="B14" s="551" t="s">
        <v>370</v>
      </c>
      <c r="C14" s="549"/>
      <c r="D14" s="110">
        <f>-'Note 20-31'!C16-'Note 20-31'!C17</f>
        <v>-2115554</v>
      </c>
      <c r="E14" s="110">
        <v>-1586320</v>
      </c>
    </row>
    <row r="15" spans="2:8" x14ac:dyDescent="0.45">
      <c r="B15" s="551" t="s">
        <v>848</v>
      </c>
      <c r="C15" s="549"/>
      <c r="D15" s="110">
        <v>242760</v>
      </c>
      <c r="E15" s="110">
        <v>0</v>
      </c>
    </row>
    <row r="16" spans="2:8" x14ac:dyDescent="0.45">
      <c r="B16" s="551" t="s">
        <v>49</v>
      </c>
      <c r="C16" s="549"/>
      <c r="D16" s="110">
        <f>'BS PnL'!F94</f>
        <v>44288845.770000003</v>
      </c>
      <c r="E16" s="110">
        <f>'BS PnL'!G94</f>
        <v>36351752.229999997</v>
      </c>
    </row>
    <row r="17" spans="2:9" hidden="1" x14ac:dyDescent="0.45">
      <c r="B17" s="551" t="s">
        <v>50</v>
      </c>
      <c r="C17" s="549"/>
      <c r="D17" s="110">
        <f>-'Note 20-31'!C19</f>
        <v>0</v>
      </c>
      <c r="E17" s="110">
        <v>0</v>
      </c>
    </row>
    <row r="18" spans="2:9" x14ac:dyDescent="0.45">
      <c r="B18" s="548" t="s">
        <v>51</v>
      </c>
      <c r="C18" s="549"/>
      <c r="D18" s="110"/>
      <c r="E18" s="110"/>
    </row>
    <row r="19" spans="2:9" x14ac:dyDescent="0.45">
      <c r="B19" s="551" t="s">
        <v>52</v>
      </c>
      <c r="C19" s="549"/>
      <c r="D19" s="110">
        <f>-'BS PnL'!J46-'BS PnL'!J49</f>
        <v>0</v>
      </c>
      <c r="E19" s="110">
        <v>-101738230</v>
      </c>
      <c r="G19" s="552"/>
      <c r="H19" s="552"/>
    </row>
    <row r="20" spans="2:9" x14ac:dyDescent="0.45">
      <c r="B20" s="551" t="s">
        <v>53</v>
      </c>
      <c r="C20" s="549"/>
      <c r="D20" s="110">
        <f>-'BS PnL'!J45</f>
        <v>0</v>
      </c>
      <c r="E20" s="110">
        <v>-46947690</v>
      </c>
      <c r="G20" s="552"/>
    </row>
    <row r="21" spans="2:9" x14ac:dyDescent="0.45">
      <c r="B21" s="551" t="s">
        <v>67</v>
      </c>
      <c r="C21" s="549"/>
      <c r="D21" s="110">
        <f>SUM('BS PnL'!J27:J28)+'BS PnL'!J29+'BS PnL'!J30-10.89</f>
        <v>-10.89</v>
      </c>
      <c r="E21" s="110">
        <v>54285780</v>
      </c>
      <c r="G21" s="552"/>
      <c r="H21" s="552"/>
      <c r="I21" s="552"/>
    </row>
    <row r="22" spans="2:9" x14ac:dyDescent="0.45">
      <c r="B22" s="551" t="s">
        <v>374</v>
      </c>
      <c r="C22" s="549"/>
      <c r="D22" s="110">
        <v>0</v>
      </c>
      <c r="E22" s="110">
        <v>269</v>
      </c>
      <c r="G22" s="552"/>
      <c r="H22" s="552"/>
      <c r="I22" s="552"/>
    </row>
    <row r="23" spans="2:9" x14ac:dyDescent="0.45">
      <c r="B23" s="548" t="s">
        <v>54</v>
      </c>
      <c r="C23" s="549"/>
      <c r="D23" s="110">
        <f>SUM(D11:D22)</f>
        <v>144400491.45000011</v>
      </c>
      <c r="E23" s="110">
        <f>SUM(E11:E22)</f>
        <v>31242081.229999989</v>
      </c>
    </row>
    <row r="24" spans="2:9" x14ac:dyDescent="0.45">
      <c r="B24" s="551" t="s">
        <v>694</v>
      </c>
      <c r="C24" s="549"/>
      <c r="D24" s="110">
        <f>'BS PnL'!F94</f>
        <v>44288845.770000003</v>
      </c>
      <c r="E24" s="110">
        <f>'BS PnL'!G94</f>
        <v>36351752.229999997</v>
      </c>
    </row>
    <row r="25" spans="2:9" x14ac:dyDescent="0.45">
      <c r="B25" s="551" t="s">
        <v>695</v>
      </c>
      <c r="C25" s="549"/>
      <c r="D25" s="110">
        <f>'BS PnL'!F107</f>
        <v>23733634.429024078</v>
      </c>
      <c r="E25" s="110">
        <f>'BS PnL'!G107</f>
        <v>16559164</v>
      </c>
    </row>
    <row r="26" spans="2:9" hidden="1" x14ac:dyDescent="0.45">
      <c r="B26" s="551" t="s">
        <v>55</v>
      </c>
      <c r="C26" s="549"/>
      <c r="D26" s="110">
        <v>0</v>
      </c>
      <c r="E26" s="110">
        <v>0</v>
      </c>
    </row>
    <row r="27" spans="2:9" x14ac:dyDescent="0.45">
      <c r="B27" s="548" t="s">
        <v>56</v>
      </c>
      <c r="C27" s="549"/>
      <c r="D27" s="110">
        <f>D23-D24-D25</f>
        <v>76378011.250976026</v>
      </c>
      <c r="E27" s="110">
        <f>E23-E24-E25</f>
        <v>-21668835.000000007</v>
      </c>
    </row>
    <row r="28" spans="2:9" x14ac:dyDescent="0.45">
      <c r="B28" s="548"/>
      <c r="C28" s="549"/>
      <c r="D28" s="110"/>
      <c r="E28" s="110"/>
    </row>
    <row r="29" spans="2:9" x14ac:dyDescent="0.45">
      <c r="B29" s="548" t="s">
        <v>57</v>
      </c>
      <c r="C29" s="549"/>
      <c r="D29" s="110"/>
      <c r="E29" s="110"/>
    </row>
    <row r="30" spans="2:9" x14ac:dyDescent="0.45">
      <c r="B30" s="551" t="s">
        <v>58</v>
      </c>
      <c r="C30" s="549"/>
      <c r="D30" s="110">
        <f>-'Note 12 (PPE)'!C36</f>
        <v>-28680764.220000003</v>
      </c>
      <c r="E30" s="110">
        <v>-12176160</v>
      </c>
    </row>
    <row r="31" spans="2:9" x14ac:dyDescent="0.45">
      <c r="B31" s="551" t="s">
        <v>733</v>
      </c>
      <c r="C31" s="549"/>
      <c r="D31" s="110">
        <f>-'13.CWIP'!F14-E31</f>
        <v>-1227813.5899999999</v>
      </c>
      <c r="E31" s="110">
        <v>-935420</v>
      </c>
    </row>
    <row r="32" spans="2:9" x14ac:dyDescent="0.45">
      <c r="B32" s="551" t="s">
        <v>59</v>
      </c>
      <c r="C32" s="549"/>
      <c r="D32" s="110">
        <f>-'Note 12 (PPE)'!D36</f>
        <v>0</v>
      </c>
      <c r="E32" s="110">
        <v>205410</v>
      </c>
    </row>
    <row r="33" spans="2:10" x14ac:dyDescent="0.45">
      <c r="B33" s="551" t="s">
        <v>372</v>
      </c>
      <c r="C33" s="549"/>
      <c r="D33" s="110">
        <v>0</v>
      </c>
      <c r="E33" s="110">
        <v>0</v>
      </c>
      <c r="G33" s="552"/>
    </row>
    <row r="34" spans="2:10" x14ac:dyDescent="0.45">
      <c r="B34" s="551" t="s">
        <v>371</v>
      </c>
      <c r="C34" s="549"/>
      <c r="D34" s="110">
        <f>-'BS PnL'!J42</f>
        <v>0</v>
      </c>
      <c r="E34" s="110">
        <v>-8088945</v>
      </c>
    </row>
    <row r="35" spans="2:10" x14ac:dyDescent="0.45">
      <c r="B35" s="551" t="s">
        <v>48</v>
      </c>
      <c r="C35" s="549"/>
      <c r="D35" s="110">
        <f>-D14</f>
        <v>2115554</v>
      </c>
      <c r="E35" s="110">
        <f>-E14</f>
        <v>1586320</v>
      </c>
    </row>
    <row r="36" spans="2:10" x14ac:dyDescent="0.45">
      <c r="B36" s="548" t="s">
        <v>60</v>
      </c>
      <c r="C36" s="549"/>
      <c r="D36" s="110">
        <f>SUM(D29:D35)</f>
        <v>-27793023.810000002</v>
      </c>
      <c r="E36" s="110">
        <f>SUM(E29:E35)</f>
        <v>-19408795</v>
      </c>
    </row>
    <row r="37" spans="2:10" x14ac:dyDescent="0.45">
      <c r="B37" s="548"/>
      <c r="C37" s="549"/>
      <c r="D37" s="110"/>
      <c r="E37" s="110"/>
    </row>
    <row r="38" spans="2:10" x14ac:dyDescent="0.45">
      <c r="B38" s="548" t="s">
        <v>61</v>
      </c>
      <c r="C38" s="549"/>
      <c r="D38" s="110"/>
      <c r="E38" s="110"/>
    </row>
    <row r="39" spans="2:10" hidden="1" x14ac:dyDescent="0.45">
      <c r="B39" s="551" t="s">
        <v>62</v>
      </c>
      <c r="C39" s="549"/>
      <c r="D39" s="110">
        <v>0</v>
      </c>
      <c r="E39" s="110">
        <v>0</v>
      </c>
    </row>
    <row r="40" spans="2:10" hidden="1" x14ac:dyDescent="0.45">
      <c r="B40" s="551" t="s">
        <v>318</v>
      </c>
      <c r="C40" s="549"/>
      <c r="D40" s="110">
        <v>0</v>
      </c>
      <c r="E40" s="110">
        <v>0</v>
      </c>
    </row>
    <row r="41" spans="2:10" x14ac:dyDescent="0.45">
      <c r="B41" s="551" t="s">
        <v>317</v>
      </c>
      <c r="C41" s="549"/>
      <c r="D41" s="110">
        <f>-'BS PnL'!J48</f>
        <v>0</v>
      </c>
      <c r="E41" s="110">
        <v>-10610395</v>
      </c>
    </row>
    <row r="42" spans="2:10" hidden="1" x14ac:dyDescent="0.45">
      <c r="B42" s="551" t="s">
        <v>319</v>
      </c>
      <c r="C42" s="549"/>
      <c r="D42" s="110">
        <v>0</v>
      </c>
      <c r="E42" s="110">
        <v>0</v>
      </c>
    </row>
    <row r="43" spans="2:10" x14ac:dyDescent="0.45">
      <c r="B43" s="551" t="s">
        <v>697</v>
      </c>
      <c r="C43" s="549"/>
      <c r="D43" s="110">
        <f>'BS PnL'!J19</f>
        <v>0</v>
      </c>
      <c r="E43" s="110">
        <v>-59258135</v>
      </c>
    </row>
    <row r="44" spans="2:10" x14ac:dyDescent="0.45">
      <c r="B44" s="551" t="s">
        <v>696</v>
      </c>
      <c r="C44" s="549"/>
      <c r="D44" s="110">
        <f>+'BS PnL'!J22</f>
        <v>0</v>
      </c>
      <c r="E44" s="110">
        <v>1293445</v>
      </c>
    </row>
    <row r="45" spans="2:10" hidden="1" x14ac:dyDescent="0.45">
      <c r="B45" s="551" t="s">
        <v>68</v>
      </c>
      <c r="C45" s="549"/>
      <c r="D45" s="110">
        <v>0</v>
      </c>
      <c r="E45" s="110">
        <v>0</v>
      </c>
    </row>
    <row r="46" spans="2:10" x14ac:dyDescent="0.45">
      <c r="B46" s="551" t="s">
        <v>69</v>
      </c>
      <c r="C46" s="549"/>
      <c r="D46" s="110">
        <f>'BS PnL'!J25</f>
        <v>0</v>
      </c>
      <c r="E46" s="110">
        <v>106660255</v>
      </c>
    </row>
    <row r="47" spans="2:10" x14ac:dyDescent="0.45">
      <c r="B47" s="548" t="s">
        <v>63</v>
      </c>
      <c r="C47" s="549"/>
      <c r="D47" s="110">
        <f>SUM(D39:D46)</f>
        <v>0</v>
      </c>
      <c r="E47" s="110">
        <f>SUM(E39:E46)</f>
        <v>38085170</v>
      </c>
      <c r="J47" s="491"/>
    </row>
    <row r="48" spans="2:10" x14ac:dyDescent="0.45">
      <c r="B48" s="548"/>
      <c r="C48" s="549"/>
      <c r="D48" s="110"/>
      <c r="E48" s="110"/>
      <c r="J48" s="491"/>
    </row>
    <row r="49" spans="1:14" x14ac:dyDescent="0.45">
      <c r="B49" s="548" t="s">
        <v>64</v>
      </c>
      <c r="C49" s="549"/>
      <c r="D49" s="110">
        <f>D27+D36+D47</f>
        <v>48584987.440976024</v>
      </c>
      <c r="E49" s="110">
        <f>E27+E36+E47</f>
        <v>-2992460.0000000075</v>
      </c>
    </row>
    <row r="50" spans="1:14" x14ac:dyDescent="0.45">
      <c r="B50" s="553" t="s">
        <v>65</v>
      </c>
      <c r="C50" s="549"/>
      <c r="D50" s="110">
        <f>'BS PnL'!G47</f>
        <v>48289.55</v>
      </c>
      <c r="E50" s="110">
        <v>3040750</v>
      </c>
    </row>
    <row r="51" spans="1:14" x14ac:dyDescent="0.45">
      <c r="B51" s="553" t="s">
        <v>343</v>
      </c>
      <c r="C51" s="549"/>
      <c r="D51" s="110">
        <f>D49+D50</f>
        <v>48633276.990976021</v>
      </c>
      <c r="E51" s="110">
        <f>E49+E50</f>
        <v>48289.999999992549</v>
      </c>
      <c r="G51" s="554"/>
    </row>
    <row r="52" spans="1:14" x14ac:dyDescent="0.45">
      <c r="A52" s="550"/>
      <c r="B52" s="553"/>
      <c r="C52" s="550"/>
      <c r="D52" s="110"/>
      <c r="E52" s="110"/>
      <c r="G52" s="554"/>
    </row>
    <row r="53" spans="1:14" x14ac:dyDescent="0.45">
      <c r="A53" s="550"/>
      <c r="B53" s="553" t="s">
        <v>342</v>
      </c>
      <c r="C53" s="550"/>
      <c r="D53" s="110"/>
      <c r="E53" s="110"/>
    </row>
    <row r="54" spans="1:14" x14ac:dyDescent="0.45">
      <c r="A54" s="550"/>
      <c r="B54" s="553" t="s">
        <v>153</v>
      </c>
      <c r="C54" s="550"/>
      <c r="D54" s="110">
        <f>'Note (13-20)'!F62</f>
        <v>43816</v>
      </c>
      <c r="E54" s="110">
        <v>23193</v>
      </c>
      <c r="G54" s="554"/>
      <c r="H54" s="554"/>
    </row>
    <row r="55" spans="1:14" x14ac:dyDescent="0.45">
      <c r="A55" s="550"/>
      <c r="B55" s="555" t="s">
        <v>341</v>
      </c>
      <c r="C55" s="550"/>
      <c r="D55" s="110">
        <f>'Note (13-20)'!F61</f>
        <v>600</v>
      </c>
      <c r="E55" s="110">
        <v>25097</v>
      </c>
    </row>
    <row r="56" spans="1:14" x14ac:dyDescent="0.45">
      <c r="B56" s="556"/>
      <c r="C56" s="557"/>
      <c r="D56" s="494">
        <f>D54+D55</f>
        <v>44416</v>
      </c>
      <c r="E56" s="494">
        <f>E54+E55-0.01</f>
        <v>48289.99</v>
      </c>
      <c r="G56" s="558">
        <f>+D51-D56</f>
        <v>48588860.990976021</v>
      </c>
      <c r="H56" s="558">
        <f>E51-E56</f>
        <v>9.9999925514566712E-3</v>
      </c>
    </row>
    <row r="57" spans="1:14" x14ac:dyDescent="0.45">
      <c r="D57" s="552"/>
    </row>
    <row r="58" spans="1:14" x14ac:dyDescent="0.45">
      <c r="B58" s="9" t="s">
        <v>92</v>
      </c>
      <c r="D58" s="552"/>
    </row>
    <row r="59" spans="1:14" x14ac:dyDescent="0.45">
      <c r="B59" s="9" t="s">
        <v>367</v>
      </c>
    </row>
    <row r="61" spans="1:14" x14ac:dyDescent="0.45">
      <c r="B61" s="9" t="s">
        <v>66</v>
      </c>
    </row>
    <row r="62" spans="1:14" x14ac:dyDescent="0.45">
      <c r="B62" s="559" t="str">
        <f>+'BS PnL'!A58</f>
        <v>For ABC &amp; Company</v>
      </c>
      <c r="D62" s="649" t="s">
        <v>268</v>
      </c>
      <c r="E62" s="649"/>
      <c r="F62" s="649"/>
      <c r="G62" s="560"/>
      <c r="H62" s="560"/>
      <c r="I62" s="560"/>
      <c r="J62" s="560"/>
      <c r="K62" s="560"/>
      <c r="L62" s="560"/>
      <c r="M62" s="560"/>
      <c r="N62" s="437"/>
    </row>
    <row r="63" spans="1:14" x14ac:dyDescent="0.45">
      <c r="B63" s="559" t="s">
        <v>94</v>
      </c>
      <c r="C63" s="435"/>
      <c r="D63" s="649" t="str">
        <f>'BS PnL'!E60</f>
        <v>ABC INDIA LIMITED</v>
      </c>
      <c r="E63" s="649"/>
      <c r="F63" s="560"/>
      <c r="G63" s="560"/>
      <c r="H63" s="560"/>
      <c r="I63" s="560"/>
      <c r="J63" s="560"/>
      <c r="K63" s="560"/>
      <c r="L63" s="560"/>
      <c r="M63" s="560"/>
      <c r="N63" s="561"/>
    </row>
    <row r="64" spans="1:14" x14ac:dyDescent="0.45">
      <c r="B64" s="559" t="str">
        <f>+'BS PnL'!A60</f>
        <v>F.R. NO.  0XXXXXX</v>
      </c>
      <c r="D64" s="649"/>
      <c r="E64" s="649"/>
      <c r="F64" s="435"/>
      <c r="G64" s="435"/>
      <c r="H64" s="492"/>
      <c r="I64" s="492"/>
      <c r="J64" s="493"/>
      <c r="K64" s="493"/>
      <c r="L64" s="493"/>
      <c r="N64" s="561"/>
    </row>
    <row r="65" spans="2:14" x14ac:dyDescent="0.45">
      <c r="B65" s="559"/>
      <c r="D65" s="435"/>
      <c r="E65" s="435"/>
      <c r="F65" s="435"/>
      <c r="G65" s="435"/>
      <c r="H65" s="492"/>
      <c r="I65" s="492"/>
      <c r="J65" s="559"/>
      <c r="K65" s="492"/>
      <c r="L65" s="544"/>
      <c r="M65" s="544"/>
      <c r="N65" s="561"/>
    </row>
    <row r="66" spans="2:14" x14ac:dyDescent="0.45">
      <c r="B66" s="559"/>
      <c r="D66" s="435"/>
      <c r="E66" s="435"/>
      <c r="F66" s="435"/>
      <c r="G66" s="435"/>
      <c r="H66" s="492"/>
      <c r="I66" s="492"/>
      <c r="J66" s="559"/>
      <c r="K66" s="492"/>
      <c r="L66" s="544"/>
      <c r="M66" s="544"/>
      <c r="N66" s="561"/>
    </row>
    <row r="67" spans="2:14" x14ac:dyDescent="0.45">
      <c r="B67" s="559"/>
      <c r="D67" s="435"/>
      <c r="E67" s="435"/>
      <c r="F67" s="435"/>
      <c r="G67" s="435"/>
      <c r="H67" s="492"/>
      <c r="I67" s="492"/>
      <c r="J67" s="559"/>
      <c r="K67" s="492"/>
      <c r="L67" s="544"/>
      <c r="M67" s="544"/>
      <c r="N67" s="561"/>
    </row>
    <row r="68" spans="2:14" x14ac:dyDescent="0.45">
      <c r="B68" s="559"/>
      <c r="D68" s="435"/>
      <c r="E68" s="435"/>
      <c r="F68" s="435"/>
      <c r="G68" s="435"/>
      <c r="H68" s="492"/>
      <c r="I68" s="492"/>
      <c r="J68" s="559"/>
      <c r="K68" s="492"/>
      <c r="L68" s="544"/>
      <c r="M68" s="544"/>
      <c r="N68" s="561"/>
    </row>
    <row r="69" spans="2:14" x14ac:dyDescent="0.45">
      <c r="B69" s="559" t="str">
        <f>+'BS PnL'!A64</f>
        <v>Partner Name</v>
      </c>
      <c r="D69" s="559" t="s">
        <v>857</v>
      </c>
      <c r="E69" s="559" t="s">
        <v>857</v>
      </c>
      <c r="F69" s="435"/>
      <c r="G69" s="435"/>
      <c r="H69" s="492"/>
      <c r="I69" s="492"/>
      <c r="J69" s="559"/>
      <c r="K69" s="492"/>
      <c r="L69" s="544"/>
      <c r="M69" s="544"/>
      <c r="N69" s="561"/>
    </row>
    <row r="70" spans="2:14" ht="24.75" customHeight="1" x14ac:dyDescent="0.45">
      <c r="B70" s="559" t="str">
        <f>+'BS PnL'!A65</f>
        <v>Partner</v>
      </c>
      <c r="D70" s="559" t="s">
        <v>95</v>
      </c>
      <c r="E70" s="562" t="s">
        <v>95</v>
      </c>
      <c r="F70" s="435"/>
      <c r="G70" s="435"/>
      <c r="H70" s="492"/>
      <c r="I70" s="492"/>
      <c r="J70" s="559"/>
      <c r="K70" s="492"/>
      <c r="L70" s="544"/>
      <c r="M70" s="544"/>
      <c r="N70" s="561"/>
    </row>
    <row r="71" spans="2:14" x14ac:dyDescent="0.45">
      <c r="B71" s="559" t="str">
        <f>+'BS PnL'!A66</f>
        <v>Membership No : XXXXXX</v>
      </c>
      <c r="D71" s="559" t="s">
        <v>858</v>
      </c>
      <c r="E71" s="562" t="s">
        <v>862</v>
      </c>
      <c r="F71" s="559"/>
      <c r="G71" s="435"/>
      <c r="H71" s="492"/>
      <c r="I71" s="492"/>
      <c r="J71" s="559"/>
      <c r="K71" s="492"/>
      <c r="N71" s="466"/>
    </row>
    <row r="72" spans="2:14" x14ac:dyDescent="0.45">
      <c r="B72" s="559" t="str">
        <f>'BS PnL'!A67</f>
        <v xml:space="preserve">Date  : </v>
      </c>
      <c r="C72" s="559"/>
      <c r="D72" s="559" t="str">
        <f>B72</f>
        <v xml:space="preserve">Date  : </v>
      </c>
      <c r="E72" s="562" t="str">
        <f>B72</f>
        <v xml:space="preserve">Date  : </v>
      </c>
      <c r="F72" s="559"/>
      <c r="G72" s="435"/>
      <c r="H72" s="492"/>
      <c r="I72" s="492"/>
      <c r="J72" s="559"/>
      <c r="K72" s="492"/>
      <c r="N72" s="563"/>
    </row>
    <row r="73" spans="2:14" x14ac:dyDescent="0.45">
      <c r="B73" s="559" t="str">
        <f>'BS PnL'!A68</f>
        <v>Place :</v>
      </c>
      <c r="C73" s="559"/>
      <c r="D73" s="559" t="str">
        <f>+'BS PnL'!E68</f>
        <v xml:space="preserve">Place : </v>
      </c>
      <c r="E73" s="562" t="str">
        <f>+D73</f>
        <v xml:space="preserve">Place : </v>
      </c>
      <c r="F73" s="559"/>
      <c r="G73" s="435"/>
      <c r="H73" s="492"/>
      <c r="I73" s="492"/>
      <c r="J73" s="564"/>
      <c r="K73" s="492"/>
    </row>
    <row r="74" spans="2:14" x14ac:dyDescent="0.45">
      <c r="B74" s="559" t="str">
        <f>'BS PnL'!A69</f>
        <v xml:space="preserve">UDIN : </v>
      </c>
      <c r="C74" s="435"/>
      <c r="D74" s="435"/>
      <c r="E74" s="435"/>
      <c r="F74" s="426"/>
      <c r="G74" s="435"/>
      <c r="H74" s="492"/>
      <c r="I74" s="492"/>
      <c r="J74" s="426"/>
      <c r="K74" s="492"/>
    </row>
    <row r="75" spans="2:14" x14ac:dyDescent="0.45">
      <c r="B75" s="559"/>
      <c r="C75" s="435"/>
      <c r="G75" s="435"/>
      <c r="H75" s="492"/>
      <c r="I75" s="492"/>
      <c r="J75" s="426"/>
      <c r="K75" s="492"/>
    </row>
    <row r="76" spans="2:14" x14ac:dyDescent="0.45">
      <c r="B76" s="559"/>
      <c r="C76" s="435"/>
      <c r="G76" s="435"/>
      <c r="H76" s="492"/>
      <c r="I76" s="492"/>
      <c r="J76" s="426"/>
      <c r="K76" s="492"/>
    </row>
    <row r="77" spans="2:14" x14ac:dyDescent="0.45">
      <c r="B77" s="559"/>
      <c r="C77" s="435"/>
      <c r="D77" s="392"/>
      <c r="E77" s="392"/>
      <c r="F77" s="129"/>
      <c r="G77" s="435"/>
      <c r="H77" s="492"/>
      <c r="I77" s="492"/>
      <c r="J77" s="426"/>
      <c r="K77" s="492"/>
    </row>
    <row r="78" spans="2:14" x14ac:dyDescent="0.45">
      <c r="B78" s="559"/>
      <c r="C78" s="435"/>
      <c r="D78" s="392" t="s">
        <v>791</v>
      </c>
      <c r="E78" s="392" t="s">
        <v>790</v>
      </c>
      <c r="F78" s="426"/>
      <c r="G78" s="435"/>
      <c r="H78" s="492"/>
      <c r="I78" s="492"/>
      <c r="J78" s="426"/>
      <c r="K78" s="492"/>
    </row>
    <row r="79" spans="2:14" x14ac:dyDescent="0.45">
      <c r="B79" s="559"/>
      <c r="C79" s="435"/>
      <c r="D79" s="435"/>
      <c r="E79" s="435"/>
      <c r="F79" s="426"/>
      <c r="G79" s="435"/>
      <c r="H79" s="492"/>
      <c r="I79" s="492"/>
      <c r="J79" s="426"/>
      <c r="K79" s="492"/>
    </row>
    <row r="80" spans="2:14" x14ac:dyDescent="0.45">
      <c r="B80" s="559"/>
      <c r="C80" s="435"/>
      <c r="D80" s="435"/>
      <c r="E80" s="435"/>
      <c r="F80" s="426"/>
      <c r="G80" s="435"/>
      <c r="H80" s="492"/>
      <c r="I80" s="492"/>
      <c r="J80" s="426"/>
      <c r="K80" s="492"/>
    </row>
    <row r="81" spans="6:14" x14ac:dyDescent="0.45">
      <c r="F81" s="426"/>
      <c r="G81" s="435"/>
      <c r="H81" s="492"/>
      <c r="I81" s="492"/>
      <c r="J81" s="426"/>
      <c r="K81" s="492"/>
    </row>
    <row r="82" spans="6:14" x14ac:dyDescent="0.45">
      <c r="F82" s="435"/>
      <c r="G82" s="435"/>
      <c r="H82" s="492"/>
      <c r="I82" s="492"/>
      <c r="J82" s="492"/>
      <c r="K82" s="492"/>
      <c r="L82" s="492"/>
      <c r="M82" s="435"/>
      <c r="N82" s="561"/>
    </row>
  </sheetData>
  <mergeCells count="7">
    <mergeCell ref="D64:E64"/>
    <mergeCell ref="D63:E63"/>
    <mergeCell ref="B2:F2"/>
    <mergeCell ref="B4:E4"/>
    <mergeCell ref="B6:E6"/>
    <mergeCell ref="D62:F62"/>
    <mergeCell ref="B3:E3"/>
  </mergeCells>
  <pageMargins left="0.25" right="0.25" top="0.37" bottom="0.75" header="0.3" footer="0.3"/>
  <pageSetup paperSize="9" scale="54" orientation="portrait" r:id="rId1"/>
  <rowBreaks count="1" manualBreakCount="1">
    <brk id="82"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P159"/>
  <sheetViews>
    <sheetView showGridLines="0" view="pageBreakPreview" topLeftCell="A153" zoomScale="70" zoomScaleNormal="70" zoomScaleSheetLayoutView="70" workbookViewId="0">
      <selection activeCell="B17" sqref="B17:O19"/>
    </sheetView>
  </sheetViews>
  <sheetFormatPr defaultColWidth="9.26953125" defaultRowHeight="19" x14ac:dyDescent="0.45"/>
  <cols>
    <col min="1" max="1" width="11" style="9" customWidth="1"/>
    <col min="2" max="2" width="5.54296875" style="9" customWidth="1"/>
    <col min="3" max="3" width="9.26953125" style="9" customWidth="1"/>
    <col min="4" max="5" width="9.26953125" style="9"/>
    <col min="6" max="6" width="27.26953125" style="9" customWidth="1"/>
    <col min="7" max="7" width="13" style="9" customWidth="1"/>
    <col min="8" max="8" width="13.453125" style="9" customWidth="1"/>
    <col min="9" max="9" width="17.81640625" style="9" customWidth="1"/>
    <col min="10" max="10" width="13.453125" style="9" customWidth="1"/>
    <col min="11" max="12" width="9.26953125" style="9"/>
    <col min="13" max="13" width="11.7265625" style="9" customWidth="1"/>
    <col min="14" max="14" width="17.26953125" style="9" customWidth="1"/>
    <col min="15" max="16384" width="9.26953125" style="9"/>
  </cols>
  <sheetData>
    <row r="1" spans="1:16" s="420" customFormat="1" ht="13.5" x14ac:dyDescent="0.35"/>
    <row r="2" spans="1:16" s="420" customFormat="1" ht="22.5" x14ac:dyDescent="0.35">
      <c r="A2" s="681" t="s">
        <v>849</v>
      </c>
      <c r="B2" s="681"/>
      <c r="C2" s="681"/>
      <c r="D2" s="681"/>
      <c r="E2" s="681"/>
      <c r="F2" s="681"/>
      <c r="G2" s="681"/>
      <c r="H2" s="681"/>
      <c r="I2" s="681"/>
      <c r="J2" s="681"/>
      <c r="K2" s="422"/>
      <c r="L2" s="422"/>
      <c r="M2" s="422"/>
      <c r="N2" s="422"/>
      <c r="O2" s="422"/>
      <c r="P2" s="422"/>
    </row>
    <row r="3" spans="1:16" s="420" customFormat="1" ht="21" customHeight="1" thickBot="1" x14ac:dyDescent="0.5">
      <c r="A3" s="423" t="s">
        <v>769</v>
      </c>
      <c r="B3" s="424"/>
      <c r="C3" s="424"/>
      <c r="D3" s="424"/>
      <c r="E3" s="424"/>
      <c r="F3" s="424"/>
      <c r="G3" s="424"/>
      <c r="H3" s="424"/>
      <c r="I3" s="424"/>
      <c r="J3" s="424"/>
      <c r="K3" s="424"/>
      <c r="L3" s="424"/>
      <c r="M3" s="424"/>
      <c r="N3" s="424"/>
      <c r="O3" s="424"/>
      <c r="P3" s="422"/>
    </row>
    <row r="4" spans="1:16" s="420" customFormat="1" ht="18" hidden="1" customHeight="1" x14ac:dyDescent="0.45">
      <c r="A4" s="425" t="s">
        <v>27</v>
      </c>
      <c r="B4" s="425"/>
      <c r="C4" s="425"/>
      <c r="D4" s="425"/>
      <c r="E4" s="425"/>
      <c r="F4" s="425"/>
      <c r="G4" s="425"/>
      <c r="H4" s="425"/>
      <c r="I4" s="425"/>
      <c r="J4" s="425"/>
      <c r="K4" s="425"/>
      <c r="L4" s="425"/>
      <c r="M4" s="425"/>
      <c r="N4" s="425"/>
      <c r="O4" s="425"/>
      <c r="P4" s="425"/>
    </row>
    <row r="5" spans="1:16" s="420" customFormat="1" ht="18" hidden="1" customHeight="1" x14ac:dyDescent="0.45">
      <c r="A5" s="425" t="s">
        <v>28</v>
      </c>
      <c r="B5" s="425"/>
      <c r="C5" s="425"/>
      <c r="D5" s="425"/>
      <c r="E5" s="425"/>
      <c r="F5" s="425"/>
      <c r="G5" s="425"/>
      <c r="H5" s="425"/>
      <c r="I5" s="425"/>
      <c r="J5" s="425"/>
      <c r="K5" s="425"/>
      <c r="L5" s="425"/>
      <c r="M5" s="425"/>
      <c r="N5" s="425"/>
      <c r="O5" s="425"/>
      <c r="P5" s="425"/>
    </row>
    <row r="6" spans="1:16" s="420" customFormat="1" ht="18" hidden="1" customHeight="1" x14ac:dyDescent="0.45">
      <c r="A6" s="425" t="s">
        <v>26</v>
      </c>
      <c r="B6" s="425"/>
      <c r="C6" s="425"/>
      <c r="D6" s="425"/>
      <c r="E6" s="425"/>
      <c r="F6" s="425"/>
      <c r="G6" s="425"/>
      <c r="H6" s="425"/>
      <c r="I6" s="425"/>
      <c r="J6" s="425"/>
      <c r="K6" s="425"/>
      <c r="L6" s="425"/>
      <c r="M6" s="425"/>
      <c r="N6" s="425"/>
      <c r="O6" s="425"/>
      <c r="P6" s="425"/>
    </row>
    <row r="7" spans="1:16" s="420" customFormat="1" ht="24.65" customHeight="1" thickTop="1" x14ac:dyDescent="0.45">
      <c r="A7" s="426"/>
      <c r="C7" s="427"/>
      <c r="D7" s="427"/>
      <c r="E7" s="427"/>
      <c r="F7" s="427"/>
      <c r="G7" s="427"/>
      <c r="H7" s="427"/>
      <c r="I7" s="427"/>
      <c r="J7" s="427"/>
      <c r="K7" s="427"/>
      <c r="L7" s="427"/>
      <c r="M7" s="427"/>
      <c r="N7" s="427"/>
      <c r="O7" s="427"/>
      <c r="P7" s="428"/>
    </row>
    <row r="8" spans="1:16" s="420" customFormat="1" ht="24.65" customHeight="1" x14ac:dyDescent="0.45">
      <c r="A8" s="429" t="s">
        <v>177</v>
      </c>
      <c r="B8" s="659" t="s">
        <v>178</v>
      </c>
      <c r="C8" s="659"/>
      <c r="D8" s="659"/>
      <c r="E8" s="659"/>
      <c r="F8" s="659"/>
      <c r="G8" s="659"/>
      <c r="H8" s="659"/>
      <c r="I8" s="659"/>
      <c r="J8" s="659"/>
      <c r="K8" s="659"/>
      <c r="L8" s="659"/>
      <c r="M8" s="659"/>
      <c r="N8" s="659"/>
      <c r="O8" s="659"/>
      <c r="P8" s="430"/>
    </row>
    <row r="9" spans="1:16" s="420" customFormat="1" ht="14.5" customHeight="1" x14ac:dyDescent="0.45">
      <c r="A9" s="429"/>
      <c r="B9" s="431"/>
      <c r="C9" s="431"/>
      <c r="D9" s="431"/>
      <c r="E9" s="431"/>
      <c r="F9" s="431"/>
      <c r="G9" s="431"/>
      <c r="H9" s="431"/>
      <c r="I9" s="431"/>
      <c r="J9" s="431"/>
      <c r="K9" s="431"/>
      <c r="L9" s="431"/>
      <c r="M9" s="431"/>
      <c r="N9" s="431"/>
      <c r="O9" s="431"/>
      <c r="P9" s="430"/>
    </row>
    <row r="10" spans="1:16" s="420" customFormat="1" ht="60.75" customHeight="1" x14ac:dyDescent="0.45">
      <c r="A10" s="432"/>
      <c r="B10" s="682" t="s">
        <v>863</v>
      </c>
      <c r="C10" s="682"/>
      <c r="D10" s="682"/>
      <c r="E10" s="682"/>
      <c r="F10" s="682"/>
      <c r="G10" s="682"/>
      <c r="H10" s="682"/>
      <c r="I10" s="682"/>
      <c r="J10" s="682"/>
      <c r="K10" s="682"/>
      <c r="L10" s="682"/>
      <c r="M10" s="682"/>
      <c r="N10" s="682"/>
      <c r="O10" s="433"/>
      <c r="P10" s="434"/>
    </row>
    <row r="11" spans="1:16" s="420" customFormat="1" ht="40.5" customHeight="1" x14ac:dyDescent="0.45">
      <c r="A11" s="432"/>
      <c r="B11" s="682"/>
      <c r="C11" s="682"/>
      <c r="D11" s="682"/>
      <c r="E11" s="682"/>
      <c r="F11" s="682"/>
      <c r="G11" s="682"/>
      <c r="H11" s="682"/>
      <c r="I11" s="682"/>
      <c r="J11" s="682"/>
      <c r="K11" s="682"/>
      <c r="L11" s="682"/>
      <c r="M11" s="682"/>
      <c r="N11" s="682"/>
      <c r="O11" s="433"/>
      <c r="P11" s="434"/>
    </row>
    <row r="12" spans="1:16" s="420" customFormat="1" ht="12" customHeight="1" x14ac:dyDescent="0.45">
      <c r="A12" s="435"/>
      <c r="B12" s="426"/>
      <c r="C12" s="426"/>
      <c r="D12" s="426"/>
      <c r="E12" s="426"/>
      <c r="F12" s="426"/>
      <c r="G12" s="426"/>
      <c r="H12" s="436"/>
      <c r="I12" s="436"/>
      <c r="J12" s="436"/>
      <c r="K12" s="436"/>
      <c r="L12" s="436"/>
      <c r="M12" s="426"/>
      <c r="N12" s="437"/>
      <c r="O12" s="437"/>
      <c r="P12" s="430"/>
    </row>
    <row r="13" spans="1:16" s="420" customFormat="1" x14ac:dyDescent="0.45">
      <c r="A13" s="429" t="s">
        <v>179</v>
      </c>
      <c r="B13" s="659" t="s">
        <v>180</v>
      </c>
      <c r="C13" s="659"/>
      <c r="D13" s="659"/>
      <c r="E13" s="659"/>
      <c r="F13" s="659"/>
      <c r="G13" s="659"/>
      <c r="H13" s="659"/>
      <c r="I13" s="659"/>
      <c r="J13" s="659"/>
      <c r="K13" s="659"/>
      <c r="L13" s="659"/>
      <c r="M13" s="659"/>
      <c r="N13" s="659"/>
      <c r="O13" s="659"/>
      <c r="P13" s="659"/>
    </row>
    <row r="14" spans="1:16" s="420" customFormat="1" ht="12" customHeight="1" x14ac:dyDescent="0.45">
      <c r="A14" s="429"/>
      <c r="B14" s="431"/>
      <c r="C14" s="431"/>
      <c r="D14" s="431"/>
      <c r="E14" s="431"/>
      <c r="F14" s="431"/>
      <c r="G14" s="431"/>
      <c r="H14" s="431"/>
      <c r="I14" s="431"/>
      <c r="J14" s="431"/>
      <c r="K14" s="431"/>
      <c r="L14" s="431"/>
      <c r="M14" s="431"/>
      <c r="N14" s="431"/>
      <c r="O14" s="431"/>
      <c r="P14" s="430"/>
    </row>
    <row r="15" spans="1:16" s="420" customFormat="1" x14ac:dyDescent="0.45">
      <c r="A15" s="432">
        <v>2.1</v>
      </c>
      <c r="B15" s="683" t="s">
        <v>181</v>
      </c>
      <c r="C15" s="683"/>
      <c r="D15" s="683"/>
      <c r="E15" s="683"/>
      <c r="F15" s="683"/>
      <c r="G15" s="683"/>
      <c r="H15" s="683"/>
      <c r="I15" s="683"/>
      <c r="J15" s="683"/>
      <c r="K15" s="683"/>
      <c r="L15" s="683"/>
      <c r="M15" s="683"/>
      <c r="N15" s="683"/>
      <c r="O15" s="683"/>
      <c r="P15" s="683"/>
    </row>
    <row r="16" spans="1:16" s="420" customFormat="1" ht="11.25" customHeight="1" x14ac:dyDescent="0.45">
      <c r="A16" s="432"/>
      <c r="B16" s="438"/>
      <c r="C16" s="438"/>
      <c r="D16" s="438"/>
      <c r="E16" s="438"/>
      <c r="F16" s="438"/>
      <c r="G16" s="438"/>
      <c r="H16" s="438"/>
      <c r="I16" s="438"/>
      <c r="J16" s="438"/>
      <c r="K16" s="438"/>
      <c r="L16" s="438"/>
      <c r="M16" s="438"/>
      <c r="N16" s="438"/>
      <c r="O16" s="438"/>
      <c r="P16" s="430"/>
    </row>
    <row r="17" spans="1:16" s="420" customFormat="1" x14ac:dyDescent="0.45">
      <c r="A17" s="432"/>
      <c r="B17" s="660" t="s">
        <v>460</v>
      </c>
      <c r="C17" s="660"/>
      <c r="D17" s="660"/>
      <c r="E17" s="660"/>
      <c r="F17" s="660"/>
      <c r="G17" s="660"/>
      <c r="H17" s="660"/>
      <c r="I17" s="660"/>
      <c r="J17" s="660"/>
      <c r="K17" s="660"/>
      <c r="L17" s="660"/>
      <c r="M17" s="660"/>
      <c r="N17" s="660"/>
      <c r="O17" s="660"/>
      <c r="P17" s="439"/>
    </row>
    <row r="18" spans="1:16" s="420" customFormat="1" x14ac:dyDescent="0.45">
      <c r="A18" s="432"/>
      <c r="B18" s="660"/>
      <c r="C18" s="660"/>
      <c r="D18" s="660"/>
      <c r="E18" s="660"/>
      <c r="F18" s="660"/>
      <c r="G18" s="660"/>
      <c r="H18" s="660"/>
      <c r="I18" s="660"/>
      <c r="J18" s="660"/>
      <c r="K18" s="660"/>
      <c r="L18" s="660"/>
      <c r="M18" s="660"/>
      <c r="N18" s="660"/>
      <c r="O18" s="660"/>
      <c r="P18" s="439"/>
    </row>
    <row r="19" spans="1:16" s="420" customFormat="1" ht="26.25" customHeight="1" x14ac:dyDescent="0.45">
      <c r="A19" s="432"/>
      <c r="B19" s="660"/>
      <c r="C19" s="660"/>
      <c r="D19" s="660"/>
      <c r="E19" s="660"/>
      <c r="F19" s="660"/>
      <c r="G19" s="660"/>
      <c r="H19" s="660"/>
      <c r="I19" s="660"/>
      <c r="J19" s="660"/>
      <c r="K19" s="660"/>
      <c r="L19" s="660"/>
      <c r="M19" s="660"/>
      <c r="N19" s="660"/>
      <c r="O19" s="660"/>
      <c r="P19" s="439"/>
    </row>
    <row r="20" spans="1:16" s="420" customFormat="1" x14ac:dyDescent="0.45">
      <c r="A20" s="432">
        <f>A15+0.1</f>
        <v>2.2000000000000002</v>
      </c>
      <c r="B20" s="659" t="s">
        <v>182</v>
      </c>
      <c r="C20" s="659"/>
      <c r="D20" s="659"/>
      <c r="E20" s="659"/>
      <c r="F20" s="659"/>
      <c r="G20" s="659"/>
      <c r="H20" s="659"/>
      <c r="I20" s="659"/>
      <c r="J20" s="659"/>
      <c r="K20" s="659"/>
      <c r="L20" s="659"/>
      <c r="M20" s="659"/>
      <c r="N20" s="659"/>
      <c r="O20" s="659"/>
      <c r="P20" s="659"/>
    </row>
    <row r="21" spans="1:16" s="420" customFormat="1" x14ac:dyDescent="0.45">
      <c r="A21" s="432"/>
      <c r="B21" s="431"/>
      <c r="C21" s="431"/>
      <c r="D21" s="431"/>
      <c r="E21" s="431"/>
      <c r="F21" s="431"/>
      <c r="G21" s="431"/>
      <c r="H21" s="431"/>
      <c r="I21" s="431"/>
      <c r="J21" s="431"/>
      <c r="K21" s="431"/>
      <c r="L21" s="431"/>
      <c r="M21" s="431"/>
      <c r="N21" s="431"/>
      <c r="O21" s="431"/>
      <c r="P21" s="430"/>
    </row>
    <row r="22" spans="1:16" s="420" customFormat="1" x14ac:dyDescent="0.45">
      <c r="A22" s="432"/>
      <c r="B22" s="660" t="s">
        <v>183</v>
      </c>
      <c r="C22" s="660"/>
      <c r="D22" s="660"/>
      <c r="E22" s="660"/>
      <c r="F22" s="660"/>
      <c r="G22" s="660"/>
      <c r="H22" s="660"/>
      <c r="I22" s="660"/>
      <c r="J22" s="660"/>
      <c r="K22" s="660"/>
      <c r="L22" s="660"/>
      <c r="M22" s="660"/>
      <c r="N22" s="660"/>
      <c r="O22" s="660"/>
      <c r="P22" s="439"/>
    </row>
    <row r="23" spans="1:16" s="420" customFormat="1" x14ac:dyDescent="0.45">
      <c r="A23" s="432"/>
      <c r="B23" s="660"/>
      <c r="C23" s="660"/>
      <c r="D23" s="660"/>
      <c r="E23" s="660"/>
      <c r="F23" s="660"/>
      <c r="G23" s="660"/>
      <c r="H23" s="660"/>
      <c r="I23" s="660"/>
      <c r="J23" s="660"/>
      <c r="K23" s="660"/>
      <c r="L23" s="660"/>
      <c r="M23" s="660"/>
      <c r="N23" s="660"/>
      <c r="O23" s="660"/>
      <c r="P23" s="439"/>
    </row>
    <row r="24" spans="1:16" s="420" customFormat="1" x14ac:dyDescent="0.45">
      <c r="A24" s="432"/>
      <c r="B24" s="660"/>
      <c r="C24" s="660"/>
      <c r="D24" s="660"/>
      <c r="E24" s="660"/>
      <c r="F24" s="660"/>
      <c r="G24" s="660"/>
      <c r="H24" s="660"/>
      <c r="I24" s="660"/>
      <c r="J24" s="660"/>
      <c r="K24" s="660"/>
      <c r="L24" s="660"/>
      <c r="M24" s="660"/>
      <c r="N24" s="660"/>
      <c r="O24" s="660"/>
      <c r="P24" s="439"/>
    </row>
    <row r="25" spans="1:16" s="420" customFormat="1" ht="43.5" customHeight="1" x14ac:dyDescent="0.45">
      <c r="A25" s="432"/>
      <c r="B25" s="660"/>
      <c r="C25" s="660"/>
      <c r="D25" s="660"/>
      <c r="E25" s="660"/>
      <c r="F25" s="660"/>
      <c r="G25" s="660"/>
      <c r="H25" s="660"/>
      <c r="I25" s="660"/>
      <c r="J25" s="660"/>
      <c r="K25" s="660"/>
      <c r="L25" s="660"/>
      <c r="M25" s="660"/>
      <c r="N25" s="660"/>
      <c r="O25" s="660"/>
      <c r="P25" s="439"/>
    </row>
    <row r="26" spans="1:16" s="420" customFormat="1" ht="13.5" customHeight="1" x14ac:dyDescent="0.45">
      <c r="A26" s="432"/>
      <c r="B26" s="439"/>
      <c r="C26" s="439"/>
      <c r="D26" s="439"/>
      <c r="E26" s="439"/>
      <c r="F26" s="439"/>
      <c r="G26" s="439"/>
      <c r="H26" s="439"/>
      <c r="I26" s="439"/>
      <c r="J26" s="439"/>
      <c r="K26" s="439"/>
      <c r="L26" s="439"/>
      <c r="M26" s="439"/>
      <c r="N26" s="439"/>
      <c r="O26" s="439"/>
      <c r="P26" s="439"/>
    </row>
    <row r="27" spans="1:16" s="420" customFormat="1" x14ac:dyDescent="0.45">
      <c r="A27" s="432">
        <f>A20+0.1</f>
        <v>2.3000000000000003</v>
      </c>
      <c r="B27" s="659" t="s">
        <v>184</v>
      </c>
      <c r="C27" s="659"/>
      <c r="D27" s="659"/>
      <c r="E27" s="659"/>
      <c r="F27" s="659"/>
      <c r="G27" s="659"/>
      <c r="H27" s="659"/>
      <c r="I27" s="659"/>
      <c r="J27" s="659"/>
      <c r="K27" s="659"/>
      <c r="L27" s="659"/>
      <c r="M27" s="659"/>
      <c r="N27" s="659"/>
      <c r="O27" s="659"/>
      <c r="P27" s="659"/>
    </row>
    <row r="28" spans="1:16" s="420" customFormat="1" ht="10.5" customHeight="1" x14ac:dyDescent="0.45">
      <c r="A28" s="432"/>
      <c r="B28" s="431"/>
      <c r="C28" s="431"/>
      <c r="D28" s="431"/>
      <c r="E28" s="431"/>
      <c r="F28" s="431"/>
      <c r="G28" s="431"/>
      <c r="H28" s="431"/>
      <c r="I28" s="431"/>
      <c r="J28" s="431"/>
      <c r="K28" s="431"/>
      <c r="L28" s="431"/>
      <c r="M28" s="431"/>
      <c r="N28" s="431"/>
      <c r="O28" s="431"/>
      <c r="P28" s="430"/>
    </row>
    <row r="29" spans="1:16" s="420" customFormat="1" x14ac:dyDescent="0.45">
      <c r="A29" s="440"/>
      <c r="B29" s="660" t="s">
        <v>185</v>
      </c>
      <c r="C29" s="660"/>
      <c r="D29" s="660"/>
      <c r="E29" s="660"/>
      <c r="F29" s="660"/>
      <c r="G29" s="660"/>
      <c r="H29" s="660"/>
      <c r="I29" s="660"/>
      <c r="J29" s="660"/>
      <c r="K29" s="660"/>
      <c r="L29" s="660"/>
      <c r="M29" s="660"/>
      <c r="N29" s="660"/>
      <c r="O29" s="660"/>
      <c r="P29" s="430"/>
    </row>
    <row r="30" spans="1:16" s="420" customFormat="1" ht="20.5" customHeight="1" x14ac:dyDescent="0.45">
      <c r="A30" s="440"/>
      <c r="B30" s="660"/>
      <c r="C30" s="660"/>
      <c r="D30" s="660"/>
      <c r="E30" s="660"/>
      <c r="F30" s="660"/>
      <c r="G30" s="660"/>
      <c r="H30" s="660"/>
      <c r="I30" s="660"/>
      <c r="J30" s="660"/>
      <c r="K30" s="660"/>
      <c r="L30" s="660"/>
      <c r="M30" s="660"/>
      <c r="N30" s="660"/>
      <c r="O30" s="660"/>
      <c r="P30" s="430"/>
    </row>
    <row r="31" spans="1:16" s="420" customFormat="1" x14ac:dyDescent="0.35">
      <c r="A31" s="440"/>
      <c r="B31" s="660" t="s">
        <v>186</v>
      </c>
      <c r="C31" s="660"/>
      <c r="D31" s="660"/>
      <c r="E31" s="660"/>
      <c r="F31" s="660"/>
      <c r="G31" s="660"/>
      <c r="H31" s="660"/>
      <c r="I31" s="660"/>
      <c r="J31" s="660"/>
      <c r="K31" s="660"/>
      <c r="L31" s="660"/>
      <c r="M31" s="660"/>
      <c r="N31" s="660"/>
      <c r="O31" s="660"/>
      <c r="P31" s="439"/>
    </row>
    <row r="32" spans="1:16" s="420" customFormat="1" x14ac:dyDescent="0.35">
      <c r="A32" s="440"/>
      <c r="B32" s="660"/>
      <c r="C32" s="660"/>
      <c r="D32" s="660"/>
      <c r="E32" s="660"/>
      <c r="F32" s="660"/>
      <c r="G32" s="660"/>
      <c r="H32" s="660"/>
      <c r="I32" s="660"/>
      <c r="J32" s="660"/>
      <c r="K32" s="660"/>
      <c r="L32" s="660"/>
      <c r="M32" s="660"/>
      <c r="N32" s="660"/>
      <c r="O32" s="660"/>
      <c r="P32" s="439"/>
    </row>
    <row r="33" spans="1:16" s="420" customFormat="1" ht="9" customHeight="1" x14ac:dyDescent="0.45">
      <c r="A33" s="432"/>
      <c r="B33" s="660"/>
      <c r="C33" s="660"/>
      <c r="D33" s="660"/>
      <c r="E33" s="660"/>
      <c r="F33" s="660"/>
      <c r="G33" s="660"/>
      <c r="H33" s="660"/>
      <c r="I33" s="660"/>
      <c r="J33" s="660"/>
      <c r="K33" s="660"/>
      <c r="L33" s="660"/>
      <c r="M33" s="660"/>
      <c r="N33" s="660"/>
      <c r="O33" s="660"/>
      <c r="P33" s="439"/>
    </row>
    <row r="34" spans="1:16" s="420" customFormat="1" x14ac:dyDescent="0.45">
      <c r="A34" s="432">
        <f>A27+0.1</f>
        <v>2.4000000000000004</v>
      </c>
      <c r="B34" s="659" t="s">
        <v>187</v>
      </c>
      <c r="C34" s="659"/>
      <c r="D34" s="659"/>
      <c r="E34" s="659"/>
      <c r="F34" s="659"/>
      <c r="G34" s="659"/>
      <c r="H34" s="659"/>
      <c r="I34" s="659"/>
      <c r="J34" s="659"/>
      <c r="K34" s="659"/>
      <c r="L34" s="659"/>
      <c r="M34" s="659"/>
      <c r="N34" s="659"/>
      <c r="O34" s="659"/>
      <c r="P34" s="659"/>
    </row>
    <row r="35" spans="1:16" s="420" customFormat="1" ht="12" customHeight="1" x14ac:dyDescent="0.45">
      <c r="A35" s="432"/>
      <c r="B35" s="431"/>
      <c r="C35" s="431"/>
      <c r="D35" s="431"/>
      <c r="E35" s="431"/>
      <c r="F35" s="431"/>
      <c r="G35" s="431"/>
      <c r="H35" s="431"/>
      <c r="I35" s="431"/>
      <c r="J35" s="431"/>
      <c r="K35" s="431"/>
      <c r="L35" s="431"/>
      <c r="M35" s="431"/>
      <c r="N35" s="431"/>
      <c r="O35" s="431"/>
      <c r="P35" s="430"/>
    </row>
    <row r="36" spans="1:16" s="420" customFormat="1" x14ac:dyDescent="0.45">
      <c r="A36" s="432"/>
      <c r="B36" s="660" t="s">
        <v>188</v>
      </c>
      <c r="C36" s="660"/>
      <c r="D36" s="660"/>
      <c r="E36" s="660"/>
      <c r="F36" s="660"/>
      <c r="G36" s="660"/>
      <c r="H36" s="660"/>
      <c r="I36" s="660"/>
      <c r="J36" s="660"/>
      <c r="K36" s="660"/>
      <c r="L36" s="660"/>
      <c r="M36" s="660"/>
      <c r="N36" s="660"/>
      <c r="O36" s="660"/>
      <c r="P36" s="439"/>
    </row>
    <row r="37" spans="1:16" s="420" customFormat="1" x14ac:dyDescent="0.45">
      <c r="A37" s="432"/>
      <c r="B37" s="660"/>
      <c r="C37" s="660"/>
      <c r="D37" s="660"/>
      <c r="E37" s="660"/>
      <c r="F37" s="660"/>
      <c r="G37" s="660"/>
      <c r="H37" s="660"/>
      <c r="I37" s="660"/>
      <c r="J37" s="660"/>
      <c r="K37" s="660"/>
      <c r="L37" s="660"/>
      <c r="M37" s="660"/>
      <c r="N37" s="660"/>
      <c r="O37" s="660"/>
      <c r="P37" s="439"/>
    </row>
    <row r="38" spans="1:16" s="420" customFormat="1" x14ac:dyDescent="0.45">
      <c r="A38" s="432"/>
      <c r="B38" s="660"/>
      <c r="C38" s="660"/>
      <c r="D38" s="660"/>
      <c r="E38" s="660"/>
      <c r="F38" s="660"/>
      <c r="G38" s="660"/>
      <c r="H38" s="660"/>
      <c r="I38" s="660"/>
      <c r="J38" s="660"/>
      <c r="K38" s="660"/>
      <c r="L38" s="660"/>
      <c r="M38" s="660"/>
      <c r="N38" s="660"/>
      <c r="O38" s="660"/>
      <c r="P38" s="439"/>
    </row>
    <row r="39" spans="1:16" s="420" customFormat="1" x14ac:dyDescent="0.45">
      <c r="A39" s="432"/>
      <c r="B39" s="660"/>
      <c r="C39" s="660"/>
      <c r="D39" s="660"/>
      <c r="E39" s="660"/>
      <c r="F39" s="660"/>
      <c r="G39" s="660"/>
      <c r="H39" s="660"/>
      <c r="I39" s="660"/>
      <c r="J39" s="660"/>
      <c r="K39" s="660"/>
      <c r="L39" s="660"/>
      <c r="M39" s="660"/>
      <c r="N39" s="660"/>
      <c r="O39" s="660"/>
      <c r="P39" s="439"/>
    </row>
    <row r="40" spans="1:16" s="420" customFormat="1" x14ac:dyDescent="0.45">
      <c r="A40" s="432"/>
      <c r="B40" s="660"/>
      <c r="C40" s="660"/>
      <c r="D40" s="660"/>
      <c r="E40" s="660"/>
      <c r="F40" s="660"/>
      <c r="G40" s="660"/>
      <c r="H40" s="660"/>
      <c r="I40" s="660"/>
      <c r="J40" s="660"/>
      <c r="K40" s="660"/>
      <c r="L40" s="660"/>
      <c r="M40" s="660"/>
      <c r="N40" s="660"/>
      <c r="O40" s="660"/>
      <c r="P40" s="439"/>
    </row>
    <row r="41" spans="1:16" s="420" customFormat="1" x14ac:dyDescent="0.45">
      <c r="A41" s="432"/>
      <c r="B41" s="660"/>
      <c r="C41" s="660"/>
      <c r="D41" s="660"/>
      <c r="E41" s="660"/>
      <c r="F41" s="660"/>
      <c r="G41" s="660"/>
      <c r="H41" s="660"/>
      <c r="I41" s="660"/>
      <c r="J41" s="660"/>
      <c r="K41" s="660"/>
      <c r="L41" s="660"/>
      <c r="M41" s="660"/>
      <c r="N41" s="660"/>
      <c r="O41" s="660"/>
      <c r="P41" s="439"/>
    </row>
    <row r="42" spans="1:16" s="420" customFormat="1" x14ac:dyDescent="0.45">
      <c r="A42" s="432"/>
      <c r="B42" s="660"/>
      <c r="C42" s="660"/>
      <c r="D42" s="660"/>
      <c r="E42" s="660"/>
      <c r="F42" s="660"/>
      <c r="G42" s="660"/>
      <c r="H42" s="660"/>
      <c r="I42" s="660"/>
      <c r="J42" s="660"/>
      <c r="K42" s="660"/>
      <c r="L42" s="660"/>
      <c r="M42" s="660"/>
      <c r="N42" s="660"/>
      <c r="O42" s="660"/>
      <c r="P42" s="439"/>
    </row>
    <row r="43" spans="1:16" s="420" customFormat="1" ht="111.65" customHeight="1" x14ac:dyDescent="0.45">
      <c r="A43" s="432"/>
      <c r="B43" s="660"/>
      <c r="C43" s="660"/>
      <c r="D43" s="660"/>
      <c r="E43" s="660"/>
      <c r="F43" s="660"/>
      <c r="G43" s="660"/>
      <c r="H43" s="660"/>
      <c r="I43" s="660"/>
      <c r="J43" s="660"/>
      <c r="K43" s="660"/>
      <c r="L43" s="660"/>
      <c r="M43" s="660"/>
      <c r="N43" s="660"/>
      <c r="O43" s="660"/>
      <c r="P43" s="439"/>
    </row>
    <row r="44" spans="1:16" s="420" customFormat="1" x14ac:dyDescent="0.45">
      <c r="A44" s="432">
        <f>A34+0.1</f>
        <v>2.5000000000000004</v>
      </c>
      <c r="B44" s="659" t="s">
        <v>189</v>
      </c>
      <c r="C44" s="659"/>
      <c r="D44" s="659"/>
      <c r="E44" s="659"/>
      <c r="F44" s="659"/>
      <c r="G44" s="659"/>
      <c r="H44" s="659"/>
      <c r="I44" s="659"/>
      <c r="J44" s="659"/>
      <c r="K44" s="659"/>
      <c r="L44" s="659"/>
      <c r="M44" s="659"/>
      <c r="N44" s="659"/>
      <c r="O44" s="659"/>
      <c r="P44" s="659"/>
    </row>
    <row r="45" spans="1:16" s="420" customFormat="1" x14ac:dyDescent="0.45">
      <c r="A45" s="432"/>
      <c r="B45" s="431"/>
      <c r="C45" s="431"/>
      <c r="D45" s="431"/>
      <c r="E45" s="431"/>
      <c r="F45" s="431"/>
      <c r="G45" s="431"/>
      <c r="H45" s="431"/>
      <c r="I45" s="431"/>
      <c r="J45" s="431"/>
      <c r="K45" s="431"/>
      <c r="L45" s="431"/>
      <c r="M45" s="431"/>
      <c r="N45" s="431"/>
      <c r="O45" s="431"/>
      <c r="P45" s="430"/>
    </row>
    <row r="46" spans="1:16" s="420" customFormat="1" ht="36" customHeight="1" x14ac:dyDescent="0.45">
      <c r="A46" s="432"/>
      <c r="B46" s="660" t="s">
        <v>838</v>
      </c>
      <c r="C46" s="660"/>
      <c r="D46" s="660"/>
      <c r="E46" s="660"/>
      <c r="F46" s="660"/>
      <c r="G46" s="660"/>
      <c r="H46" s="660"/>
      <c r="I46" s="660"/>
      <c r="J46" s="660"/>
      <c r="K46" s="660"/>
      <c r="L46" s="660"/>
      <c r="M46" s="660"/>
      <c r="N46" s="660"/>
      <c r="O46" s="660"/>
      <c r="P46" s="439"/>
    </row>
    <row r="47" spans="1:16" s="420" customFormat="1" ht="81.650000000000006" customHeight="1" x14ac:dyDescent="0.45">
      <c r="A47" s="432"/>
      <c r="B47" s="660"/>
      <c r="C47" s="660"/>
      <c r="D47" s="660"/>
      <c r="E47" s="660"/>
      <c r="F47" s="660"/>
      <c r="G47" s="660"/>
      <c r="H47" s="660"/>
      <c r="I47" s="660"/>
      <c r="J47" s="660"/>
      <c r="K47" s="660"/>
      <c r="L47" s="660"/>
      <c r="M47" s="660"/>
      <c r="N47" s="660"/>
      <c r="O47" s="660"/>
      <c r="P47" s="439"/>
    </row>
    <row r="48" spans="1:16" s="420" customFormat="1" ht="12" hidden="1" customHeight="1" x14ac:dyDescent="0.45">
      <c r="A48" s="432"/>
      <c r="B48" s="441"/>
      <c r="C48" s="441"/>
      <c r="D48" s="441"/>
      <c r="E48" s="441"/>
      <c r="F48" s="441"/>
      <c r="G48" s="441"/>
      <c r="H48" s="441"/>
      <c r="I48" s="441"/>
      <c r="J48" s="441"/>
      <c r="K48" s="441"/>
      <c r="L48" s="441"/>
      <c r="M48" s="441"/>
      <c r="N48" s="441"/>
      <c r="O48" s="441"/>
      <c r="P48" s="430"/>
    </row>
    <row r="49" spans="1:16" s="420" customFormat="1" x14ac:dyDescent="0.45">
      <c r="A49" s="432">
        <f>A44+0.1</f>
        <v>2.6000000000000005</v>
      </c>
      <c r="B49" s="431" t="s">
        <v>213</v>
      </c>
      <c r="C49" s="431"/>
      <c r="D49" s="431"/>
      <c r="E49" s="431"/>
      <c r="F49" s="431"/>
      <c r="G49" s="431"/>
      <c r="H49" s="431"/>
      <c r="I49" s="431"/>
      <c r="J49" s="431"/>
      <c r="K49" s="431"/>
      <c r="L49" s="431"/>
      <c r="M49" s="431"/>
      <c r="N49" s="431"/>
      <c r="O49" s="431"/>
      <c r="P49" s="431"/>
    </row>
    <row r="50" spans="1:16" s="420" customFormat="1" ht="14.25" customHeight="1" x14ac:dyDescent="0.45">
      <c r="A50" s="432"/>
      <c r="B50" s="431"/>
      <c r="C50" s="431"/>
      <c r="D50" s="431"/>
      <c r="E50" s="431"/>
      <c r="F50" s="431"/>
      <c r="G50" s="431"/>
      <c r="H50" s="431"/>
      <c r="I50" s="431"/>
      <c r="J50" s="431"/>
      <c r="K50" s="431"/>
      <c r="L50" s="431"/>
      <c r="M50" s="431"/>
      <c r="N50" s="431"/>
      <c r="O50" s="431"/>
      <c r="P50" s="430"/>
    </row>
    <row r="51" spans="1:16" s="420" customFormat="1" x14ac:dyDescent="0.45">
      <c r="A51" s="432"/>
      <c r="B51" s="431" t="s">
        <v>211</v>
      </c>
      <c r="C51" s="431"/>
      <c r="D51" s="431"/>
      <c r="E51" s="431"/>
      <c r="F51" s="431"/>
      <c r="G51" s="431"/>
      <c r="H51" s="431"/>
      <c r="I51" s="431"/>
      <c r="J51" s="431"/>
      <c r="K51" s="431"/>
      <c r="L51" s="431"/>
      <c r="M51" s="431"/>
      <c r="N51" s="431"/>
      <c r="O51" s="431"/>
      <c r="P51" s="431"/>
    </row>
    <row r="52" spans="1:16" s="420" customFormat="1" ht="13.5" customHeight="1" x14ac:dyDescent="0.45">
      <c r="A52" s="432"/>
      <c r="B52" s="431"/>
      <c r="C52" s="431"/>
      <c r="D52" s="431"/>
      <c r="E52" s="431"/>
      <c r="F52" s="431"/>
      <c r="G52" s="431"/>
      <c r="H52" s="431"/>
      <c r="I52" s="431"/>
      <c r="J52" s="431"/>
      <c r="K52" s="431"/>
      <c r="L52" s="431"/>
      <c r="M52" s="431"/>
      <c r="N52" s="431"/>
      <c r="O52" s="431"/>
      <c r="P52" s="430"/>
    </row>
    <row r="53" spans="1:16" s="420" customFormat="1" x14ac:dyDescent="0.45">
      <c r="A53" s="432"/>
      <c r="B53" s="660" t="s">
        <v>210</v>
      </c>
      <c r="C53" s="660"/>
      <c r="D53" s="660"/>
      <c r="E53" s="660"/>
      <c r="F53" s="660"/>
      <c r="G53" s="660"/>
      <c r="H53" s="660"/>
      <c r="I53" s="660"/>
      <c r="J53" s="660"/>
      <c r="K53" s="660"/>
      <c r="L53" s="660"/>
      <c r="M53" s="660"/>
      <c r="N53" s="660"/>
      <c r="O53" s="660"/>
      <c r="P53" s="439"/>
    </row>
    <row r="54" spans="1:16" s="420" customFormat="1" x14ac:dyDescent="0.45">
      <c r="A54" s="432"/>
      <c r="B54" s="660"/>
      <c r="C54" s="660"/>
      <c r="D54" s="660"/>
      <c r="E54" s="660"/>
      <c r="F54" s="660"/>
      <c r="G54" s="660"/>
      <c r="H54" s="660"/>
      <c r="I54" s="660"/>
      <c r="J54" s="660"/>
      <c r="K54" s="660"/>
      <c r="L54" s="660"/>
      <c r="M54" s="660"/>
      <c r="N54" s="660"/>
      <c r="O54" s="660"/>
      <c r="P54" s="439"/>
    </row>
    <row r="55" spans="1:16" s="420" customFormat="1" x14ac:dyDescent="0.45">
      <c r="A55" s="432"/>
      <c r="B55" s="660"/>
      <c r="C55" s="660"/>
      <c r="D55" s="660"/>
      <c r="E55" s="660"/>
      <c r="F55" s="660"/>
      <c r="G55" s="660"/>
      <c r="H55" s="660"/>
      <c r="I55" s="660"/>
      <c r="J55" s="660"/>
      <c r="K55" s="660"/>
      <c r="L55" s="660"/>
      <c r="M55" s="660"/>
      <c r="N55" s="660"/>
      <c r="O55" s="660"/>
      <c r="P55" s="439"/>
    </row>
    <row r="56" spans="1:16" s="420" customFormat="1" ht="51" customHeight="1" x14ac:dyDescent="0.45">
      <c r="A56" s="432"/>
      <c r="B56" s="660"/>
      <c r="C56" s="660"/>
      <c r="D56" s="660"/>
      <c r="E56" s="660"/>
      <c r="F56" s="660"/>
      <c r="G56" s="660"/>
      <c r="H56" s="660"/>
      <c r="I56" s="660"/>
      <c r="J56" s="660"/>
      <c r="K56" s="660"/>
      <c r="L56" s="660"/>
      <c r="M56" s="660"/>
      <c r="N56" s="660"/>
      <c r="O56" s="660"/>
      <c r="P56" s="439"/>
    </row>
    <row r="57" spans="1:16" s="420" customFormat="1" ht="10.9" hidden="1" customHeight="1" x14ac:dyDescent="0.45">
      <c r="A57" s="432"/>
      <c r="B57" s="439"/>
      <c r="C57" s="439"/>
      <c r="D57" s="439"/>
      <c r="E57" s="439"/>
      <c r="F57" s="439"/>
      <c r="G57" s="439"/>
      <c r="H57" s="439"/>
      <c r="I57" s="439"/>
      <c r="J57" s="439"/>
      <c r="K57" s="439"/>
      <c r="L57" s="439"/>
      <c r="M57" s="439"/>
      <c r="N57" s="439"/>
      <c r="O57" s="439"/>
      <c r="P57" s="439"/>
    </row>
    <row r="58" spans="1:16" s="420" customFormat="1" x14ac:dyDescent="0.45">
      <c r="A58" s="432"/>
      <c r="B58" s="442" t="s">
        <v>212</v>
      </c>
      <c r="C58" s="443"/>
      <c r="D58" s="443"/>
      <c r="E58" s="443"/>
      <c r="F58" s="443"/>
      <c r="G58" s="443"/>
      <c r="H58" s="443"/>
      <c r="I58" s="443"/>
      <c r="J58" s="443"/>
      <c r="K58" s="443"/>
      <c r="L58" s="443"/>
      <c r="M58" s="443"/>
      <c r="N58" s="443"/>
      <c r="O58" s="443"/>
      <c r="P58" s="443"/>
    </row>
    <row r="59" spans="1:16" s="420" customFormat="1" ht="11.25" customHeight="1" x14ac:dyDescent="0.45">
      <c r="A59" s="432"/>
      <c r="B59" s="443"/>
      <c r="C59" s="441"/>
      <c r="D59" s="441"/>
      <c r="E59" s="441"/>
      <c r="F59" s="441"/>
      <c r="G59" s="441"/>
      <c r="H59" s="441"/>
      <c r="I59" s="441"/>
      <c r="J59" s="441"/>
      <c r="K59" s="441"/>
      <c r="L59" s="441"/>
      <c r="M59" s="441"/>
      <c r="N59" s="441"/>
      <c r="O59" s="441"/>
      <c r="P59" s="430"/>
    </row>
    <row r="60" spans="1:16" s="420" customFormat="1" ht="103.9" customHeight="1" x14ac:dyDescent="0.45">
      <c r="A60" s="432"/>
      <c r="B60" s="660" t="s">
        <v>635</v>
      </c>
      <c r="C60" s="660"/>
      <c r="D60" s="660"/>
      <c r="E60" s="660"/>
      <c r="F60" s="660"/>
      <c r="G60" s="660"/>
      <c r="H60" s="660"/>
      <c r="I60" s="660"/>
      <c r="J60" s="660"/>
      <c r="K60" s="660"/>
      <c r="L60" s="660"/>
      <c r="M60" s="660"/>
      <c r="N60" s="660"/>
      <c r="O60" s="660"/>
      <c r="P60" s="439"/>
    </row>
    <row r="61" spans="1:16" s="420" customFormat="1" ht="6.75" customHeight="1" x14ac:dyDescent="0.45">
      <c r="A61" s="435"/>
      <c r="B61" s="426"/>
      <c r="C61" s="426"/>
      <c r="D61" s="426"/>
      <c r="E61" s="426"/>
      <c r="F61" s="426"/>
      <c r="G61" s="426"/>
      <c r="H61" s="436"/>
      <c r="I61" s="436"/>
      <c r="J61" s="436"/>
      <c r="K61" s="436"/>
      <c r="L61" s="436"/>
      <c r="M61" s="426"/>
      <c r="N61" s="437"/>
      <c r="O61" s="437"/>
      <c r="P61" s="430"/>
    </row>
    <row r="62" spans="1:16" s="420" customFormat="1" x14ac:dyDescent="0.45">
      <c r="A62" s="432">
        <f>A49+0.1</f>
        <v>2.7000000000000006</v>
      </c>
      <c r="B62" s="659" t="s">
        <v>190</v>
      </c>
      <c r="C62" s="659"/>
      <c r="D62" s="659"/>
      <c r="E62" s="659"/>
      <c r="F62" s="659"/>
      <c r="G62" s="659"/>
      <c r="H62" s="659"/>
      <c r="I62" s="659"/>
      <c r="J62" s="659"/>
      <c r="K62" s="659"/>
      <c r="L62" s="659"/>
      <c r="M62" s="659"/>
      <c r="N62" s="659"/>
      <c r="O62" s="659"/>
      <c r="P62" s="659"/>
    </row>
    <row r="63" spans="1:16" s="420" customFormat="1" ht="13.5" customHeight="1" x14ac:dyDescent="0.45">
      <c r="A63" s="432"/>
      <c r="B63" s="431"/>
      <c r="C63" s="431"/>
      <c r="D63" s="431"/>
      <c r="E63" s="431"/>
      <c r="F63" s="431"/>
      <c r="G63" s="431"/>
      <c r="H63" s="431"/>
      <c r="I63" s="431"/>
      <c r="J63" s="431"/>
      <c r="K63" s="431"/>
      <c r="L63" s="431"/>
      <c r="M63" s="431"/>
      <c r="N63" s="431"/>
      <c r="O63" s="431"/>
      <c r="P63" s="430"/>
    </row>
    <row r="64" spans="1:16" s="420" customFormat="1" x14ac:dyDescent="0.45">
      <c r="A64" s="432"/>
      <c r="B64" s="660" t="s">
        <v>796</v>
      </c>
      <c r="C64" s="660"/>
      <c r="D64" s="660"/>
      <c r="E64" s="660"/>
      <c r="F64" s="660"/>
      <c r="G64" s="660"/>
      <c r="H64" s="660"/>
      <c r="I64" s="660"/>
      <c r="J64" s="660"/>
      <c r="K64" s="660"/>
      <c r="L64" s="660"/>
      <c r="M64" s="660"/>
      <c r="N64" s="660"/>
      <c r="O64" s="660"/>
      <c r="P64" s="439"/>
    </row>
    <row r="65" spans="1:16" s="420" customFormat="1" x14ac:dyDescent="0.45">
      <c r="A65" s="432"/>
      <c r="B65" s="660"/>
      <c r="C65" s="660"/>
      <c r="D65" s="660"/>
      <c r="E65" s="660"/>
      <c r="F65" s="660"/>
      <c r="G65" s="660"/>
      <c r="H65" s="660"/>
      <c r="I65" s="660"/>
      <c r="J65" s="660"/>
      <c r="K65" s="660"/>
      <c r="L65" s="660"/>
      <c r="M65" s="660"/>
      <c r="N65" s="660"/>
      <c r="O65" s="660"/>
      <c r="P65" s="439"/>
    </row>
    <row r="66" spans="1:16" s="420" customFormat="1" ht="25.15" customHeight="1" x14ac:dyDescent="0.45">
      <c r="A66" s="432"/>
      <c r="B66" s="660"/>
      <c r="C66" s="660"/>
      <c r="D66" s="660"/>
      <c r="E66" s="660"/>
      <c r="F66" s="660"/>
      <c r="G66" s="660"/>
      <c r="H66" s="660"/>
      <c r="I66" s="660"/>
      <c r="J66" s="660"/>
      <c r="K66" s="660"/>
      <c r="L66" s="660"/>
      <c r="M66" s="660"/>
      <c r="N66" s="660"/>
      <c r="O66" s="660"/>
      <c r="P66" s="439"/>
    </row>
    <row r="67" spans="1:16" s="420" customFormat="1" ht="4.1500000000000004" customHeight="1" x14ac:dyDescent="0.45">
      <c r="A67" s="435"/>
      <c r="B67" s="426"/>
      <c r="C67" s="426"/>
      <c r="D67" s="426"/>
      <c r="E67" s="426"/>
      <c r="F67" s="426"/>
      <c r="G67" s="426"/>
      <c r="H67" s="436"/>
      <c r="I67" s="436"/>
      <c r="J67" s="436"/>
      <c r="K67" s="436"/>
      <c r="L67" s="436"/>
      <c r="M67" s="426"/>
      <c r="N67" s="437"/>
      <c r="O67" s="437"/>
      <c r="P67" s="430"/>
    </row>
    <row r="68" spans="1:16" s="420" customFormat="1" x14ac:dyDescent="0.45">
      <c r="A68" s="432">
        <f>A62+0.1</f>
        <v>2.8000000000000007</v>
      </c>
      <c r="B68" s="431" t="s">
        <v>191</v>
      </c>
      <c r="C68" s="431"/>
      <c r="D68" s="431"/>
      <c r="E68" s="431"/>
      <c r="F68" s="431"/>
      <c r="G68" s="431"/>
      <c r="H68" s="431"/>
      <c r="I68" s="431"/>
      <c r="J68" s="431"/>
      <c r="K68" s="431"/>
      <c r="L68" s="431"/>
      <c r="M68" s="431"/>
      <c r="N68" s="431"/>
      <c r="O68" s="431"/>
      <c r="P68" s="431"/>
    </row>
    <row r="69" spans="1:16" s="420" customFormat="1" x14ac:dyDescent="0.45">
      <c r="A69" s="432"/>
      <c r="B69" s="662" t="s">
        <v>192</v>
      </c>
      <c r="C69" s="662"/>
      <c r="D69" s="662"/>
      <c r="E69" s="662"/>
      <c r="F69" s="662"/>
      <c r="G69" s="662"/>
      <c r="H69" s="662"/>
      <c r="I69" s="662"/>
      <c r="J69" s="662"/>
      <c r="K69" s="662"/>
      <c r="L69" s="662"/>
      <c r="M69" s="662"/>
      <c r="N69" s="662"/>
      <c r="O69" s="662"/>
      <c r="P69" s="662"/>
    </row>
    <row r="70" spans="1:16" s="420" customFormat="1" x14ac:dyDescent="0.45">
      <c r="A70" s="432"/>
      <c r="B70" s="662"/>
      <c r="C70" s="662"/>
      <c r="D70" s="662"/>
      <c r="E70" s="662"/>
      <c r="F70" s="662"/>
      <c r="G70" s="662"/>
      <c r="H70" s="662"/>
      <c r="I70" s="662"/>
      <c r="J70" s="662"/>
      <c r="K70" s="662"/>
      <c r="L70" s="662"/>
      <c r="M70" s="662"/>
      <c r="N70" s="662"/>
      <c r="O70" s="662"/>
      <c r="P70" s="662"/>
    </row>
    <row r="71" spans="1:16" s="420" customFormat="1" x14ac:dyDescent="0.45">
      <c r="A71" s="432" t="s">
        <v>193</v>
      </c>
      <c r="B71" s="659" t="s">
        <v>194</v>
      </c>
      <c r="C71" s="659"/>
      <c r="D71" s="659"/>
      <c r="E71" s="659"/>
      <c r="F71" s="659"/>
      <c r="G71" s="659"/>
      <c r="H71" s="659"/>
      <c r="I71" s="659"/>
      <c r="J71" s="659"/>
      <c r="K71" s="659"/>
      <c r="L71" s="659"/>
      <c r="M71" s="659"/>
      <c r="N71" s="659"/>
      <c r="O71" s="659"/>
      <c r="P71" s="659"/>
    </row>
    <row r="72" spans="1:16" s="420" customFormat="1" ht="54" customHeight="1" x14ac:dyDescent="0.45">
      <c r="A72" s="444"/>
      <c r="B72" s="662" t="s">
        <v>797</v>
      </c>
      <c r="C72" s="662"/>
      <c r="D72" s="662"/>
      <c r="E72" s="662"/>
      <c r="F72" s="662"/>
      <c r="G72" s="662"/>
      <c r="H72" s="662"/>
      <c r="I72" s="662"/>
      <c r="J72" s="662"/>
      <c r="K72" s="662"/>
      <c r="L72" s="662"/>
      <c r="M72" s="662"/>
      <c r="N72" s="662"/>
      <c r="O72" s="662"/>
      <c r="P72" s="445"/>
    </row>
    <row r="73" spans="1:16" s="420" customFormat="1" ht="75" customHeight="1" x14ac:dyDescent="0.45">
      <c r="A73" s="444"/>
      <c r="B73" s="662" t="s">
        <v>798</v>
      </c>
      <c r="C73" s="662"/>
      <c r="D73" s="662"/>
      <c r="E73" s="662"/>
      <c r="F73" s="662"/>
      <c r="G73" s="662"/>
      <c r="H73" s="662"/>
      <c r="I73" s="662"/>
      <c r="J73" s="662"/>
      <c r="K73" s="662"/>
      <c r="L73" s="662"/>
      <c r="M73" s="662"/>
      <c r="N73" s="662"/>
      <c r="O73" s="662"/>
      <c r="P73" s="445"/>
    </row>
    <row r="74" spans="1:16" s="420" customFormat="1" ht="15.75" customHeight="1" x14ac:dyDescent="0.45">
      <c r="A74" s="444"/>
      <c r="B74" s="446"/>
      <c r="C74" s="662"/>
      <c r="D74" s="662"/>
      <c r="E74" s="662"/>
      <c r="F74" s="662"/>
      <c r="G74" s="662"/>
      <c r="H74" s="662"/>
      <c r="I74" s="662"/>
      <c r="J74" s="662"/>
      <c r="K74" s="662"/>
      <c r="L74" s="662"/>
      <c r="M74" s="662"/>
      <c r="N74" s="662"/>
      <c r="O74" s="437"/>
      <c r="P74" s="430"/>
    </row>
    <row r="75" spans="1:16" s="420" customFormat="1" ht="38.25" customHeight="1" x14ac:dyDescent="0.45">
      <c r="A75" s="444"/>
      <c r="B75" s="662" t="s">
        <v>799</v>
      </c>
      <c r="C75" s="662"/>
      <c r="D75" s="662"/>
      <c r="E75" s="662"/>
      <c r="F75" s="662"/>
      <c r="G75" s="662"/>
      <c r="H75" s="662"/>
      <c r="I75" s="662"/>
      <c r="J75" s="662"/>
      <c r="K75" s="662"/>
      <c r="L75" s="662"/>
      <c r="M75" s="662"/>
      <c r="N75" s="662"/>
      <c r="O75" s="662"/>
      <c r="P75" s="445"/>
    </row>
    <row r="76" spans="1:16" s="420" customFormat="1" x14ac:dyDescent="0.45">
      <c r="A76" s="435"/>
      <c r="B76" s="426"/>
      <c r="C76" s="426"/>
      <c r="D76" s="426"/>
      <c r="E76" s="426"/>
      <c r="F76" s="426"/>
      <c r="G76" s="426"/>
      <c r="H76" s="436"/>
      <c r="I76" s="436"/>
      <c r="J76" s="436"/>
      <c r="K76" s="436"/>
      <c r="L76" s="436"/>
      <c r="M76" s="426"/>
      <c r="N76" s="437"/>
      <c r="O76" s="437"/>
      <c r="P76" s="430"/>
    </row>
    <row r="77" spans="1:16" s="420" customFormat="1" x14ac:dyDescent="0.45">
      <c r="A77" s="447">
        <v>2.1</v>
      </c>
      <c r="B77" s="659" t="s">
        <v>195</v>
      </c>
      <c r="C77" s="659"/>
      <c r="D77" s="659"/>
      <c r="E77" s="659"/>
      <c r="F77" s="659"/>
      <c r="G77" s="659"/>
      <c r="H77" s="659"/>
      <c r="I77" s="659"/>
      <c r="J77" s="659"/>
      <c r="K77" s="659"/>
      <c r="L77" s="659"/>
      <c r="M77" s="659"/>
      <c r="N77" s="659"/>
      <c r="O77" s="659"/>
      <c r="P77" s="659"/>
    </row>
    <row r="78" spans="1:16" s="420" customFormat="1" ht="9" customHeight="1" x14ac:dyDescent="0.45">
      <c r="A78" s="447"/>
      <c r="B78" s="431"/>
      <c r="C78" s="431"/>
      <c r="D78" s="431"/>
      <c r="E78" s="431"/>
      <c r="F78" s="431"/>
      <c r="G78" s="431"/>
      <c r="H78" s="431"/>
      <c r="I78" s="431"/>
      <c r="J78" s="431"/>
      <c r="K78" s="431"/>
      <c r="L78" s="431"/>
      <c r="M78" s="431"/>
      <c r="N78" s="431"/>
      <c r="O78" s="431"/>
      <c r="P78" s="430"/>
    </row>
    <row r="79" spans="1:16" s="420" customFormat="1" ht="42.75" customHeight="1" x14ac:dyDescent="0.45">
      <c r="A79" s="432"/>
      <c r="B79" s="660" t="s">
        <v>214</v>
      </c>
      <c r="C79" s="660"/>
      <c r="D79" s="660"/>
      <c r="E79" s="660"/>
      <c r="F79" s="660"/>
      <c r="G79" s="660"/>
      <c r="H79" s="660"/>
      <c r="I79" s="660"/>
      <c r="J79" s="660"/>
      <c r="K79" s="660"/>
      <c r="L79" s="660"/>
      <c r="M79" s="660"/>
      <c r="N79" s="660"/>
      <c r="O79" s="660"/>
      <c r="P79" s="439"/>
    </row>
    <row r="80" spans="1:16" s="420" customFormat="1" ht="11.25" customHeight="1" x14ac:dyDescent="0.45">
      <c r="A80" s="432"/>
      <c r="B80" s="448"/>
      <c r="C80" s="446"/>
      <c r="D80" s="448"/>
      <c r="E80" s="448"/>
      <c r="F80" s="448"/>
      <c r="G80" s="448"/>
      <c r="H80" s="448"/>
      <c r="I80" s="448"/>
      <c r="J80" s="448"/>
      <c r="K80" s="448"/>
      <c r="L80" s="448"/>
      <c r="M80" s="448"/>
      <c r="N80" s="448"/>
      <c r="O80" s="437"/>
      <c r="P80" s="430"/>
    </row>
    <row r="81" spans="1:16" s="420" customFormat="1" ht="69.75" customHeight="1" x14ac:dyDescent="0.45">
      <c r="A81" s="432"/>
      <c r="B81" s="660" t="s">
        <v>196</v>
      </c>
      <c r="C81" s="660"/>
      <c r="D81" s="660"/>
      <c r="E81" s="660"/>
      <c r="F81" s="660"/>
      <c r="G81" s="660"/>
      <c r="H81" s="660"/>
      <c r="I81" s="660"/>
      <c r="J81" s="660"/>
      <c r="K81" s="660"/>
      <c r="L81" s="660"/>
      <c r="M81" s="660"/>
      <c r="N81" s="660"/>
      <c r="O81" s="660"/>
      <c r="P81" s="439"/>
    </row>
    <row r="82" spans="1:16" s="420" customFormat="1" x14ac:dyDescent="0.45">
      <c r="A82" s="432"/>
      <c r="B82" s="660" t="s">
        <v>197</v>
      </c>
      <c r="C82" s="660"/>
      <c r="D82" s="660"/>
      <c r="E82" s="660"/>
      <c r="F82" s="660"/>
      <c r="G82" s="660"/>
      <c r="H82" s="660"/>
      <c r="I82" s="660"/>
      <c r="J82" s="660"/>
      <c r="K82" s="660"/>
      <c r="L82" s="660"/>
      <c r="M82" s="660"/>
      <c r="N82" s="660"/>
      <c r="O82" s="660"/>
      <c r="P82" s="660"/>
    </row>
    <row r="83" spans="1:16" s="420" customFormat="1" ht="9" customHeight="1" x14ac:dyDescent="0.45">
      <c r="A83" s="432"/>
      <c r="B83" s="660"/>
      <c r="C83" s="660"/>
      <c r="D83" s="660"/>
      <c r="E83" s="660"/>
      <c r="F83" s="660"/>
      <c r="G83" s="660"/>
      <c r="H83" s="660"/>
      <c r="I83" s="660"/>
      <c r="J83" s="660"/>
      <c r="K83" s="660"/>
      <c r="L83" s="660"/>
      <c r="M83" s="660"/>
      <c r="N83" s="660"/>
      <c r="O83" s="660"/>
      <c r="P83" s="660"/>
    </row>
    <row r="84" spans="1:16" s="420" customFormat="1" ht="29.25" customHeight="1" x14ac:dyDescent="0.45">
      <c r="A84" s="432"/>
      <c r="B84" s="660" t="s">
        <v>198</v>
      </c>
      <c r="C84" s="660"/>
      <c r="D84" s="660"/>
      <c r="E84" s="660"/>
      <c r="F84" s="660"/>
      <c r="G84" s="660"/>
      <c r="H84" s="660"/>
      <c r="I84" s="660"/>
      <c r="J84" s="660"/>
      <c r="K84" s="660"/>
      <c r="L84" s="660"/>
      <c r="M84" s="660"/>
      <c r="N84" s="660"/>
      <c r="O84" s="660"/>
      <c r="P84" s="660"/>
    </row>
    <row r="85" spans="1:16" s="420" customFormat="1" ht="29.25" customHeight="1" x14ac:dyDescent="0.45">
      <c r="A85" s="432"/>
      <c r="B85" s="441"/>
      <c r="C85" s="678" t="s">
        <v>636</v>
      </c>
      <c r="D85" s="679"/>
      <c r="E85" s="680"/>
      <c r="F85" s="449" t="s">
        <v>637</v>
      </c>
      <c r="G85" s="663" t="s">
        <v>638</v>
      </c>
      <c r="H85" s="664"/>
      <c r="I85" s="665"/>
      <c r="J85" s="441"/>
      <c r="K85" s="441"/>
      <c r="L85" s="441"/>
      <c r="M85" s="441"/>
      <c r="N85" s="441"/>
      <c r="O85" s="441"/>
      <c r="P85" s="441"/>
    </row>
    <row r="86" spans="1:16" s="420" customFormat="1" ht="29.25" customHeight="1" x14ac:dyDescent="0.45">
      <c r="A86" s="432"/>
      <c r="B86" s="441"/>
      <c r="C86" s="666" t="s">
        <v>283</v>
      </c>
      <c r="D86" s="667"/>
      <c r="E86" s="668"/>
      <c r="F86" s="450" t="s">
        <v>742</v>
      </c>
      <c r="G86" s="669" t="s">
        <v>639</v>
      </c>
      <c r="H86" s="670"/>
      <c r="I86" s="671"/>
      <c r="J86" s="441"/>
      <c r="K86" s="441"/>
      <c r="L86" s="441"/>
      <c r="M86" s="441"/>
      <c r="N86" s="441"/>
      <c r="O86" s="441"/>
      <c r="P86" s="441"/>
    </row>
    <row r="87" spans="1:16" s="420" customFormat="1" ht="29.25" customHeight="1" x14ac:dyDescent="0.45">
      <c r="A87" s="432"/>
      <c r="B87" s="441"/>
      <c r="C87" s="666" t="s">
        <v>640</v>
      </c>
      <c r="D87" s="667"/>
      <c r="E87" s="668"/>
      <c r="F87" s="450">
        <v>10</v>
      </c>
      <c r="G87" s="672"/>
      <c r="H87" s="673"/>
      <c r="I87" s="674"/>
      <c r="J87" s="441"/>
      <c r="K87" s="441"/>
      <c r="L87" s="441"/>
      <c r="M87" s="441"/>
      <c r="N87" s="441"/>
      <c r="O87" s="441"/>
      <c r="P87" s="441"/>
    </row>
    <row r="88" spans="1:16" s="420" customFormat="1" ht="29.25" customHeight="1" x14ac:dyDescent="0.45">
      <c r="A88" s="432"/>
      <c r="B88" s="441"/>
      <c r="C88" s="451" t="s">
        <v>641</v>
      </c>
      <c r="D88" s="452"/>
      <c r="E88" s="453"/>
      <c r="F88" s="450">
        <v>3</v>
      </c>
      <c r="G88" s="672"/>
      <c r="H88" s="673"/>
      <c r="I88" s="674"/>
      <c r="J88" s="441"/>
      <c r="K88" s="441"/>
      <c r="L88" s="441"/>
      <c r="M88" s="441"/>
      <c r="N88" s="441"/>
      <c r="O88" s="441"/>
      <c r="P88" s="441"/>
    </row>
    <row r="89" spans="1:16" s="420" customFormat="1" ht="29.25" customHeight="1" x14ac:dyDescent="0.45">
      <c r="A89" s="432"/>
      <c r="B89" s="441"/>
      <c r="C89" s="666" t="s">
        <v>303</v>
      </c>
      <c r="D89" s="667"/>
      <c r="E89" s="668"/>
      <c r="F89" s="450">
        <v>5</v>
      </c>
      <c r="G89" s="672"/>
      <c r="H89" s="673"/>
      <c r="I89" s="674"/>
      <c r="J89" s="441"/>
      <c r="K89" s="441"/>
      <c r="L89" s="441"/>
      <c r="M89" s="441"/>
      <c r="N89" s="441"/>
      <c r="O89" s="441"/>
      <c r="P89" s="441"/>
    </row>
    <row r="90" spans="1:16" s="420" customFormat="1" ht="29.25" customHeight="1" x14ac:dyDescent="0.45">
      <c r="A90" s="432"/>
      <c r="B90" s="441"/>
      <c r="C90" s="666" t="s">
        <v>305</v>
      </c>
      <c r="D90" s="667"/>
      <c r="E90" s="668"/>
      <c r="F90" s="450" t="s">
        <v>800</v>
      </c>
      <c r="G90" s="675"/>
      <c r="H90" s="676"/>
      <c r="I90" s="677"/>
      <c r="J90" s="441"/>
      <c r="K90" s="441"/>
      <c r="L90" s="441"/>
      <c r="M90" s="441"/>
      <c r="N90" s="441"/>
      <c r="O90" s="441"/>
      <c r="P90" s="441"/>
    </row>
    <row r="91" spans="1:16" s="454" customFormat="1" ht="48.65" customHeight="1" x14ac:dyDescent="0.45">
      <c r="A91" s="447">
        <v>2.11</v>
      </c>
      <c r="B91" s="659" t="s">
        <v>642</v>
      </c>
      <c r="C91" s="659"/>
      <c r="D91" s="659"/>
      <c r="E91" s="659"/>
      <c r="F91" s="659"/>
      <c r="G91" s="659"/>
      <c r="H91" s="659"/>
      <c r="I91" s="659"/>
      <c r="J91" s="659"/>
      <c r="K91" s="659"/>
      <c r="L91" s="659"/>
      <c r="M91" s="659"/>
      <c r="N91" s="659"/>
      <c r="O91" s="446"/>
      <c r="P91" s="446"/>
    </row>
    <row r="92" spans="1:16" s="420" customFormat="1" ht="79.150000000000006" customHeight="1" x14ac:dyDescent="0.45">
      <c r="A92" s="455"/>
      <c r="B92" s="662" t="s">
        <v>643</v>
      </c>
      <c r="C92" s="655"/>
      <c r="D92" s="655"/>
      <c r="E92" s="655"/>
      <c r="F92" s="655"/>
      <c r="G92" s="655"/>
      <c r="H92" s="655"/>
      <c r="I92" s="655"/>
      <c r="J92" s="655"/>
      <c r="K92" s="655"/>
      <c r="L92" s="655"/>
      <c r="M92" s="655"/>
      <c r="N92" s="655"/>
      <c r="O92" s="441"/>
      <c r="P92" s="441"/>
    </row>
    <row r="93" spans="1:16" s="420" customFormat="1" ht="52.15" customHeight="1" x14ac:dyDescent="0.45">
      <c r="A93" s="455"/>
      <c r="B93" s="662" t="s">
        <v>644</v>
      </c>
      <c r="C93" s="655"/>
      <c r="D93" s="655"/>
      <c r="E93" s="655"/>
      <c r="F93" s="655"/>
      <c r="G93" s="655"/>
      <c r="H93" s="655"/>
      <c r="I93" s="655"/>
      <c r="J93" s="655"/>
      <c r="K93" s="655"/>
      <c r="L93" s="655"/>
      <c r="M93" s="655"/>
      <c r="N93" s="655"/>
      <c r="O93" s="441"/>
      <c r="P93" s="441"/>
    </row>
    <row r="94" spans="1:16" s="420" customFormat="1" ht="58.15" customHeight="1" x14ac:dyDescent="0.45">
      <c r="A94" s="455"/>
      <c r="B94" s="662" t="s">
        <v>645</v>
      </c>
      <c r="C94" s="655"/>
      <c r="D94" s="655"/>
      <c r="E94" s="655"/>
      <c r="F94" s="655"/>
      <c r="G94" s="655"/>
      <c r="H94" s="655"/>
      <c r="I94" s="655"/>
      <c r="J94" s="655"/>
      <c r="K94" s="655"/>
      <c r="L94" s="655"/>
      <c r="M94" s="655"/>
      <c r="N94" s="655"/>
      <c r="O94" s="441"/>
      <c r="P94" s="441"/>
    </row>
    <row r="95" spans="1:16" s="420" customFormat="1" ht="29.25" customHeight="1" x14ac:dyDescent="0.45">
      <c r="A95" s="432"/>
      <c r="B95" s="441"/>
      <c r="C95" s="456"/>
      <c r="D95" s="456"/>
      <c r="E95" s="456"/>
      <c r="F95" s="457"/>
      <c r="G95" s="458"/>
      <c r="H95" s="458"/>
      <c r="I95" s="458"/>
      <c r="J95" s="441"/>
      <c r="K95" s="441"/>
      <c r="L95" s="441"/>
      <c r="M95" s="441"/>
      <c r="N95" s="441"/>
      <c r="O95" s="441"/>
      <c r="P95" s="441"/>
    </row>
    <row r="96" spans="1:16" s="420" customFormat="1" x14ac:dyDescent="0.45">
      <c r="A96" s="447">
        <v>2.12</v>
      </c>
      <c r="B96" s="659" t="s">
        <v>199</v>
      </c>
      <c r="C96" s="659"/>
      <c r="D96" s="659"/>
      <c r="E96" s="659"/>
      <c r="F96" s="659"/>
      <c r="G96" s="659"/>
      <c r="H96" s="659"/>
      <c r="I96" s="659"/>
      <c r="J96" s="659"/>
      <c r="K96" s="659"/>
      <c r="L96" s="659"/>
      <c r="M96" s="659"/>
      <c r="N96" s="659"/>
      <c r="O96" s="659"/>
      <c r="P96" s="659"/>
    </row>
    <row r="97" spans="1:16" s="420" customFormat="1" ht="9" customHeight="1" x14ac:dyDescent="0.45">
      <c r="A97" s="447"/>
      <c r="B97" s="431"/>
      <c r="C97" s="431"/>
      <c r="D97" s="431"/>
      <c r="E97" s="431"/>
      <c r="F97" s="431"/>
      <c r="G97" s="431"/>
      <c r="H97" s="431"/>
      <c r="I97" s="431"/>
      <c r="J97" s="431"/>
      <c r="K97" s="431"/>
      <c r="L97" s="431"/>
      <c r="M97" s="431"/>
      <c r="N97" s="431"/>
      <c r="O97" s="431"/>
      <c r="P97" s="430"/>
    </row>
    <row r="98" spans="1:16" s="420" customFormat="1" x14ac:dyDescent="0.45">
      <c r="A98" s="432"/>
      <c r="B98" s="459" t="s">
        <v>200</v>
      </c>
      <c r="C98" s="459"/>
      <c r="D98" s="459"/>
      <c r="E98" s="459"/>
      <c r="F98" s="459"/>
      <c r="G98" s="459"/>
      <c r="H98" s="459"/>
      <c r="I98" s="459"/>
      <c r="J98" s="459"/>
      <c r="K98" s="459"/>
      <c r="L98" s="459"/>
      <c r="M98" s="459"/>
      <c r="N98" s="459"/>
      <c r="O98" s="459"/>
      <c r="P98" s="459"/>
    </row>
    <row r="99" spans="1:16" s="420" customFormat="1" x14ac:dyDescent="0.45">
      <c r="A99" s="432"/>
      <c r="B99" s="656" t="s">
        <v>201</v>
      </c>
      <c r="C99" s="656"/>
      <c r="D99" s="656"/>
      <c r="E99" s="656"/>
      <c r="F99" s="656"/>
      <c r="G99" s="656"/>
      <c r="H99" s="656"/>
      <c r="I99" s="656"/>
      <c r="J99" s="656"/>
      <c r="K99" s="656"/>
      <c r="L99" s="656"/>
      <c r="M99" s="656"/>
      <c r="N99" s="656"/>
      <c r="O99" s="656"/>
      <c r="P99" s="439"/>
    </row>
    <row r="100" spans="1:16" s="420" customFormat="1" ht="23.25" customHeight="1" x14ac:dyDescent="0.45">
      <c r="A100" s="432"/>
      <c r="B100" s="656"/>
      <c r="C100" s="656"/>
      <c r="D100" s="656"/>
      <c r="E100" s="656"/>
      <c r="F100" s="656"/>
      <c r="G100" s="656"/>
      <c r="H100" s="656"/>
      <c r="I100" s="656"/>
      <c r="J100" s="656"/>
      <c r="K100" s="656"/>
      <c r="L100" s="656"/>
      <c r="M100" s="656"/>
      <c r="N100" s="656"/>
      <c r="O100" s="656"/>
      <c r="P100" s="439"/>
    </row>
    <row r="101" spans="1:16" s="420" customFormat="1" ht="10.5" customHeight="1" x14ac:dyDescent="0.45">
      <c r="A101" s="432"/>
      <c r="B101" s="441"/>
      <c r="C101" s="441"/>
      <c r="D101" s="441"/>
      <c r="E101" s="441"/>
      <c r="F101" s="441"/>
      <c r="G101" s="441"/>
      <c r="H101" s="441"/>
      <c r="I101" s="441"/>
      <c r="J101" s="441"/>
      <c r="K101" s="441"/>
      <c r="L101" s="441"/>
      <c r="M101" s="441"/>
      <c r="N101" s="441"/>
      <c r="O101" s="441"/>
      <c r="P101" s="430"/>
    </row>
    <row r="102" spans="1:16" s="420" customFormat="1" x14ac:dyDescent="0.45">
      <c r="A102" s="432"/>
      <c r="B102" s="661" t="s">
        <v>202</v>
      </c>
      <c r="C102" s="661"/>
      <c r="D102" s="661"/>
      <c r="E102" s="661"/>
      <c r="F102" s="661"/>
      <c r="G102" s="661"/>
      <c r="H102" s="661"/>
      <c r="I102" s="661"/>
      <c r="J102" s="661"/>
      <c r="K102" s="661"/>
      <c r="L102" s="661"/>
      <c r="M102" s="661"/>
      <c r="N102" s="661"/>
      <c r="O102" s="661"/>
      <c r="P102" s="661"/>
    </row>
    <row r="103" spans="1:16" s="420" customFormat="1" ht="80.25" customHeight="1" x14ac:dyDescent="0.45">
      <c r="A103" s="432"/>
      <c r="B103" s="656" t="s">
        <v>203</v>
      </c>
      <c r="C103" s="656"/>
      <c r="D103" s="656"/>
      <c r="E103" s="656"/>
      <c r="F103" s="656"/>
      <c r="G103" s="656"/>
      <c r="H103" s="656"/>
      <c r="I103" s="656"/>
      <c r="J103" s="656"/>
      <c r="K103" s="656"/>
      <c r="L103" s="656"/>
      <c r="M103" s="656"/>
      <c r="N103" s="656"/>
      <c r="O103" s="656"/>
      <c r="P103" s="439"/>
    </row>
    <row r="104" spans="1:16" s="420" customFormat="1" x14ac:dyDescent="0.45">
      <c r="A104" s="432"/>
      <c r="B104" s="448"/>
      <c r="C104" s="448"/>
      <c r="D104" s="448"/>
      <c r="E104" s="448"/>
      <c r="F104" s="448"/>
      <c r="G104" s="448"/>
      <c r="H104" s="448"/>
      <c r="I104" s="448"/>
      <c r="J104" s="448"/>
      <c r="K104" s="448"/>
      <c r="L104" s="448"/>
      <c r="M104" s="448"/>
      <c r="N104" s="448"/>
      <c r="O104" s="437"/>
      <c r="P104" s="430"/>
    </row>
    <row r="105" spans="1:16" s="420" customFormat="1" x14ac:dyDescent="0.45">
      <c r="A105" s="432"/>
      <c r="B105" s="661" t="s">
        <v>204</v>
      </c>
      <c r="C105" s="661"/>
      <c r="D105" s="661"/>
      <c r="E105" s="661"/>
      <c r="F105" s="661"/>
      <c r="G105" s="661"/>
      <c r="H105" s="661"/>
      <c r="I105" s="661"/>
      <c r="J105" s="661"/>
      <c r="K105" s="661"/>
      <c r="L105" s="661"/>
      <c r="M105" s="661"/>
      <c r="N105" s="661"/>
      <c r="O105" s="661"/>
      <c r="P105" s="430"/>
    </row>
    <row r="106" spans="1:16" s="420" customFormat="1" ht="10.5" customHeight="1" x14ac:dyDescent="0.45">
      <c r="A106" s="432"/>
      <c r="B106" s="656" t="s">
        <v>205</v>
      </c>
      <c r="C106" s="656"/>
      <c r="D106" s="656"/>
      <c r="E106" s="656"/>
      <c r="F106" s="656"/>
      <c r="G106" s="656"/>
      <c r="H106" s="656"/>
      <c r="I106" s="656"/>
      <c r="J106" s="656"/>
      <c r="K106" s="656"/>
      <c r="L106" s="656"/>
      <c r="M106" s="656"/>
      <c r="N106" s="656"/>
      <c r="O106" s="656"/>
      <c r="P106" s="439"/>
    </row>
    <row r="107" spans="1:16" s="420" customFormat="1" ht="28.5" customHeight="1" x14ac:dyDescent="0.45">
      <c r="A107" s="432"/>
      <c r="B107" s="656"/>
      <c r="C107" s="656"/>
      <c r="D107" s="656"/>
      <c r="E107" s="656"/>
      <c r="F107" s="656"/>
      <c r="G107" s="656"/>
      <c r="H107" s="656"/>
      <c r="I107" s="656"/>
      <c r="J107" s="656"/>
      <c r="K107" s="656"/>
      <c r="L107" s="656"/>
      <c r="M107" s="656"/>
      <c r="N107" s="656"/>
      <c r="O107" s="656"/>
      <c r="P107" s="439"/>
    </row>
    <row r="108" spans="1:16" s="420" customFormat="1" x14ac:dyDescent="0.45">
      <c r="A108" s="432"/>
      <c r="B108" s="441"/>
      <c r="C108" s="441"/>
      <c r="D108" s="441"/>
      <c r="E108" s="441"/>
      <c r="F108" s="441"/>
      <c r="G108" s="441"/>
      <c r="H108" s="441"/>
      <c r="I108" s="441"/>
      <c r="J108" s="441"/>
      <c r="K108" s="441"/>
      <c r="L108" s="441"/>
      <c r="M108" s="441"/>
      <c r="N108" s="441"/>
      <c r="O108" s="441"/>
      <c r="P108" s="439"/>
    </row>
    <row r="109" spans="1:16" s="420" customFormat="1" x14ac:dyDescent="0.45">
      <c r="A109" s="447">
        <v>2.13</v>
      </c>
      <c r="B109" s="659" t="s">
        <v>206</v>
      </c>
      <c r="C109" s="659"/>
      <c r="D109" s="659"/>
      <c r="E109" s="659"/>
      <c r="F109" s="659"/>
      <c r="G109" s="659"/>
      <c r="H109" s="659"/>
      <c r="I109" s="659"/>
      <c r="J109" s="659"/>
      <c r="K109" s="659"/>
      <c r="L109" s="659"/>
      <c r="M109" s="659"/>
      <c r="N109" s="659"/>
      <c r="O109" s="659"/>
      <c r="P109" s="659"/>
    </row>
    <row r="110" spans="1:16" s="420" customFormat="1" ht="7.5" customHeight="1" x14ac:dyDescent="0.45">
      <c r="A110" s="447"/>
      <c r="B110" s="431"/>
      <c r="C110" s="431"/>
      <c r="D110" s="431"/>
      <c r="E110" s="431"/>
      <c r="F110" s="431"/>
      <c r="G110" s="431"/>
      <c r="H110" s="431"/>
      <c r="I110" s="431"/>
      <c r="J110" s="431"/>
      <c r="K110" s="431"/>
      <c r="L110" s="431"/>
      <c r="M110" s="431"/>
      <c r="N110" s="431"/>
      <c r="O110" s="431"/>
      <c r="P110" s="430"/>
    </row>
    <row r="111" spans="1:16" s="420" customFormat="1" x14ac:dyDescent="0.45">
      <c r="A111" s="432"/>
      <c r="B111" s="660" t="s">
        <v>734</v>
      </c>
      <c r="C111" s="660"/>
      <c r="D111" s="660"/>
      <c r="E111" s="660"/>
      <c r="F111" s="660"/>
      <c r="G111" s="660"/>
      <c r="H111" s="660"/>
      <c r="I111" s="660"/>
      <c r="J111" s="660"/>
      <c r="K111" s="660"/>
      <c r="L111" s="660"/>
      <c r="M111" s="660"/>
      <c r="N111" s="660"/>
      <c r="O111" s="660"/>
      <c r="P111" s="439"/>
    </row>
    <row r="112" spans="1:16" s="420" customFormat="1" ht="29.25" customHeight="1" x14ac:dyDescent="0.45">
      <c r="A112" s="432"/>
      <c r="B112" s="660"/>
      <c r="C112" s="660"/>
      <c r="D112" s="660"/>
      <c r="E112" s="660"/>
      <c r="F112" s="660"/>
      <c r="G112" s="660"/>
      <c r="H112" s="660"/>
      <c r="I112" s="660"/>
      <c r="J112" s="660"/>
      <c r="K112" s="660"/>
      <c r="L112" s="660"/>
      <c r="M112" s="660"/>
      <c r="N112" s="660"/>
      <c r="O112" s="660"/>
      <c r="P112" s="439"/>
    </row>
    <row r="113" spans="1:16" s="420" customFormat="1" x14ac:dyDescent="0.45">
      <c r="A113" s="447">
        <v>2.14</v>
      </c>
      <c r="B113" s="659" t="s">
        <v>207</v>
      </c>
      <c r="C113" s="659"/>
      <c r="D113" s="659"/>
      <c r="E113" s="659"/>
      <c r="F113" s="659"/>
      <c r="G113" s="659"/>
      <c r="H113" s="659"/>
      <c r="I113" s="659"/>
      <c r="J113" s="659"/>
      <c r="K113" s="659"/>
      <c r="L113" s="659"/>
      <c r="M113" s="659"/>
      <c r="N113" s="659"/>
      <c r="O113" s="659"/>
      <c r="P113" s="659"/>
    </row>
    <row r="114" spans="1:16" s="420" customFormat="1" ht="63" customHeight="1" x14ac:dyDescent="0.45">
      <c r="A114" s="432"/>
      <c r="B114" s="656" t="s">
        <v>208</v>
      </c>
      <c r="C114" s="656"/>
      <c r="D114" s="656"/>
      <c r="E114" s="656"/>
      <c r="F114" s="656"/>
      <c r="G114" s="656"/>
      <c r="H114" s="656"/>
      <c r="I114" s="656"/>
      <c r="J114" s="656"/>
      <c r="K114" s="656"/>
      <c r="L114" s="656"/>
      <c r="M114" s="656"/>
      <c r="N114" s="656"/>
      <c r="O114" s="656"/>
      <c r="P114" s="460"/>
    </row>
    <row r="115" spans="1:16" s="420" customFormat="1" x14ac:dyDescent="0.45">
      <c r="A115" s="432"/>
      <c r="B115" s="461"/>
      <c r="C115" s="461"/>
      <c r="D115" s="461"/>
      <c r="E115" s="461"/>
      <c r="F115" s="461"/>
      <c r="G115" s="461"/>
      <c r="H115" s="461"/>
      <c r="I115" s="461"/>
      <c r="J115" s="461"/>
      <c r="K115" s="461"/>
      <c r="L115" s="461"/>
      <c r="M115" s="461"/>
      <c r="N115" s="461"/>
      <c r="O115" s="461"/>
      <c r="P115" s="460"/>
    </row>
    <row r="116" spans="1:16" s="420" customFormat="1" x14ac:dyDescent="0.45">
      <c r="A116" s="447">
        <v>2.15</v>
      </c>
      <c r="B116" s="431" t="s">
        <v>31</v>
      </c>
      <c r="C116" s="431"/>
      <c r="D116" s="431"/>
      <c r="E116" s="431"/>
      <c r="F116" s="431"/>
      <c r="G116" s="431"/>
      <c r="H116" s="431"/>
      <c r="I116" s="431"/>
      <c r="J116" s="431"/>
      <c r="K116" s="431"/>
      <c r="L116" s="431"/>
      <c r="M116" s="431"/>
      <c r="N116" s="431"/>
      <c r="O116" s="431"/>
      <c r="P116" s="430"/>
    </row>
    <row r="117" spans="1:16" s="420" customFormat="1" ht="11.25" customHeight="1" x14ac:dyDescent="0.45">
      <c r="A117" s="447"/>
      <c r="B117" s="656" t="s">
        <v>333</v>
      </c>
      <c r="C117" s="656"/>
      <c r="D117" s="656"/>
      <c r="E117" s="656"/>
      <c r="F117" s="656"/>
      <c r="G117" s="656"/>
      <c r="H117" s="656"/>
      <c r="I117" s="656"/>
      <c r="J117" s="656"/>
      <c r="K117" s="656"/>
      <c r="L117" s="656"/>
      <c r="M117" s="656"/>
      <c r="N117" s="656"/>
      <c r="O117" s="656"/>
      <c r="P117" s="430"/>
    </row>
    <row r="118" spans="1:16" s="420" customFormat="1" x14ac:dyDescent="0.45">
      <c r="A118" s="447"/>
      <c r="B118" s="656"/>
      <c r="C118" s="656"/>
      <c r="D118" s="656"/>
      <c r="E118" s="656"/>
      <c r="F118" s="656"/>
      <c r="G118" s="656"/>
      <c r="H118" s="656"/>
      <c r="I118" s="656"/>
      <c r="J118" s="656"/>
      <c r="K118" s="656"/>
      <c r="L118" s="656"/>
      <c r="M118" s="656"/>
      <c r="N118" s="656"/>
      <c r="O118" s="656"/>
      <c r="P118" s="430"/>
    </row>
    <row r="119" spans="1:16" s="420" customFormat="1" x14ac:dyDescent="0.45">
      <c r="A119" s="447"/>
      <c r="B119" s="656"/>
      <c r="C119" s="656"/>
      <c r="D119" s="656"/>
      <c r="E119" s="656"/>
      <c r="F119" s="656"/>
      <c r="G119" s="656"/>
      <c r="H119" s="656"/>
      <c r="I119" s="656"/>
      <c r="J119" s="656"/>
      <c r="K119" s="656"/>
      <c r="L119" s="656"/>
      <c r="M119" s="656"/>
      <c r="N119" s="656"/>
      <c r="O119" s="656"/>
      <c r="P119" s="430"/>
    </row>
    <row r="120" spans="1:16" s="420" customFormat="1" ht="21" customHeight="1" x14ac:dyDescent="0.45">
      <c r="A120" s="447"/>
      <c r="B120" s="656"/>
      <c r="C120" s="656"/>
      <c r="D120" s="656"/>
      <c r="E120" s="656"/>
      <c r="F120" s="656"/>
      <c r="G120" s="656"/>
      <c r="H120" s="656"/>
      <c r="I120" s="656"/>
      <c r="J120" s="656"/>
      <c r="K120" s="656"/>
      <c r="L120" s="656"/>
      <c r="M120" s="656"/>
      <c r="N120" s="656"/>
      <c r="O120" s="656"/>
      <c r="P120" s="430"/>
    </row>
    <row r="121" spans="1:16" s="420" customFormat="1" ht="11.25" customHeight="1" x14ac:dyDescent="0.45">
      <c r="A121" s="447"/>
      <c r="B121" s="431"/>
      <c r="C121" s="431"/>
      <c r="D121" s="431"/>
      <c r="E121" s="431"/>
      <c r="F121" s="431"/>
      <c r="G121" s="431"/>
      <c r="H121" s="431"/>
      <c r="I121" s="431"/>
      <c r="J121" s="431"/>
      <c r="K121" s="431"/>
      <c r="L121" s="431"/>
      <c r="M121" s="431"/>
      <c r="N121" s="431"/>
      <c r="O121" s="431"/>
      <c r="P121" s="430"/>
    </row>
    <row r="122" spans="1:16" s="420" customFormat="1" x14ac:dyDescent="0.45">
      <c r="A122" s="447"/>
      <c r="B122" s="656" t="s">
        <v>325</v>
      </c>
      <c r="C122" s="656"/>
      <c r="D122" s="656"/>
      <c r="E122" s="656"/>
      <c r="F122" s="656"/>
      <c r="G122" s="656"/>
      <c r="H122" s="656"/>
      <c r="I122" s="656"/>
      <c r="J122" s="656"/>
      <c r="K122" s="656"/>
      <c r="L122" s="656"/>
      <c r="M122" s="656"/>
      <c r="N122" s="656"/>
      <c r="O122" s="656"/>
      <c r="P122" s="430"/>
    </row>
    <row r="123" spans="1:16" s="420" customFormat="1" ht="26.5" customHeight="1" x14ac:dyDescent="0.45">
      <c r="A123" s="447"/>
      <c r="B123" s="656"/>
      <c r="C123" s="656"/>
      <c r="D123" s="656"/>
      <c r="E123" s="656"/>
      <c r="F123" s="656"/>
      <c r="G123" s="656"/>
      <c r="H123" s="656"/>
      <c r="I123" s="656"/>
      <c r="J123" s="656"/>
      <c r="K123" s="656"/>
      <c r="L123" s="656"/>
      <c r="M123" s="656"/>
      <c r="N123" s="656"/>
      <c r="O123" s="656"/>
      <c r="P123" s="430"/>
    </row>
    <row r="124" spans="1:16" s="420" customFormat="1" x14ac:dyDescent="0.45">
      <c r="A124" s="447"/>
      <c r="B124" s="656"/>
      <c r="C124" s="656"/>
      <c r="D124" s="656"/>
      <c r="E124" s="656"/>
      <c r="F124" s="656"/>
      <c r="G124" s="656"/>
      <c r="H124" s="656"/>
      <c r="I124" s="656"/>
      <c r="J124" s="656"/>
      <c r="K124" s="656"/>
      <c r="L124" s="656"/>
      <c r="M124" s="656"/>
      <c r="N124" s="656"/>
      <c r="O124" s="656"/>
      <c r="P124" s="430"/>
    </row>
    <row r="125" spans="1:16" s="420" customFormat="1" ht="6" customHeight="1" x14ac:dyDescent="0.45">
      <c r="A125" s="447"/>
      <c r="B125" s="461"/>
      <c r="C125" s="461"/>
      <c r="D125" s="461"/>
      <c r="E125" s="461"/>
      <c r="F125" s="461"/>
      <c r="G125" s="461"/>
      <c r="H125" s="461"/>
      <c r="I125" s="461"/>
      <c r="J125" s="461"/>
      <c r="K125" s="461"/>
      <c r="L125" s="461"/>
      <c r="M125" s="461"/>
      <c r="N125" s="461"/>
      <c r="O125" s="461"/>
      <c r="P125" s="430"/>
    </row>
    <row r="126" spans="1:16" s="420" customFormat="1" x14ac:dyDescent="0.45">
      <c r="A126" s="455"/>
      <c r="B126" s="448" t="s">
        <v>209</v>
      </c>
      <c r="C126" s="448"/>
      <c r="D126" s="448"/>
      <c r="E126" s="448"/>
      <c r="F126" s="448"/>
      <c r="G126" s="448"/>
      <c r="H126" s="448"/>
      <c r="I126" s="448"/>
      <c r="J126" s="448"/>
      <c r="K126" s="448"/>
      <c r="L126" s="448"/>
      <c r="M126" s="448"/>
      <c r="N126" s="448"/>
      <c r="O126" s="448"/>
      <c r="P126" s="430"/>
    </row>
    <row r="127" spans="1:16" s="420" customFormat="1" ht="10.5" customHeight="1" x14ac:dyDescent="0.45">
      <c r="A127" s="455"/>
      <c r="B127" s="448"/>
      <c r="C127" s="448"/>
      <c r="D127" s="448"/>
      <c r="E127" s="448"/>
      <c r="F127" s="448"/>
      <c r="G127" s="448"/>
      <c r="H127" s="448"/>
      <c r="I127" s="448"/>
      <c r="J127" s="448"/>
      <c r="K127" s="448"/>
      <c r="L127" s="448"/>
      <c r="M127" s="448"/>
      <c r="N127" s="448"/>
      <c r="O127" s="448"/>
      <c r="P127" s="430"/>
    </row>
    <row r="128" spans="1:16" s="420" customFormat="1" x14ac:dyDescent="0.45">
      <c r="A128" s="455"/>
      <c r="B128" s="448" t="s">
        <v>326</v>
      </c>
      <c r="C128" s="448"/>
      <c r="D128" s="448"/>
      <c r="E128" s="448"/>
      <c r="F128" s="448"/>
      <c r="G128" s="448"/>
      <c r="H128" s="448"/>
      <c r="I128" s="448"/>
      <c r="J128" s="448"/>
      <c r="K128" s="448"/>
      <c r="L128" s="448"/>
      <c r="M128" s="448"/>
      <c r="N128" s="448"/>
      <c r="O128" s="448"/>
      <c r="P128" s="430"/>
    </row>
    <row r="129" spans="1:16" s="420" customFormat="1" x14ac:dyDescent="0.45">
      <c r="A129" s="462"/>
      <c r="B129" s="463"/>
      <c r="C129" s="464"/>
      <c r="D129" s="465"/>
      <c r="E129" s="464"/>
      <c r="F129" s="464"/>
      <c r="G129" s="464"/>
      <c r="H129" s="464"/>
      <c r="I129" s="464"/>
      <c r="J129" s="464"/>
      <c r="K129" s="464"/>
      <c r="L129" s="464"/>
      <c r="M129" s="464"/>
      <c r="N129" s="464"/>
      <c r="O129" s="437"/>
      <c r="P129" s="430"/>
    </row>
    <row r="130" spans="1:16" x14ac:dyDescent="0.45">
      <c r="A130" s="447">
        <v>2.16</v>
      </c>
      <c r="B130" s="466" t="s">
        <v>488</v>
      </c>
    </row>
    <row r="131" spans="1:16" ht="27.65" customHeight="1" x14ac:dyDescent="0.45">
      <c r="B131" s="9" t="s">
        <v>39</v>
      </c>
      <c r="C131" s="466" t="s">
        <v>489</v>
      </c>
    </row>
    <row r="132" spans="1:16" ht="82.9" customHeight="1" x14ac:dyDescent="0.45">
      <c r="C132" s="657" t="s">
        <v>490</v>
      </c>
      <c r="D132" s="657"/>
      <c r="E132" s="657"/>
      <c r="F132" s="657"/>
      <c r="G132" s="657"/>
      <c r="H132" s="657"/>
      <c r="I132" s="657"/>
      <c r="J132" s="657"/>
      <c r="K132" s="657"/>
      <c r="L132" s="657"/>
      <c r="M132" s="657"/>
      <c r="N132" s="657"/>
      <c r="O132" s="657"/>
    </row>
    <row r="134" spans="1:16" ht="30" customHeight="1" x14ac:dyDescent="0.45">
      <c r="B134" s="9" t="s">
        <v>40</v>
      </c>
      <c r="C134" s="466" t="s">
        <v>491</v>
      </c>
    </row>
    <row r="135" spans="1:16" x14ac:dyDescent="0.45">
      <c r="C135" s="657" t="s">
        <v>492</v>
      </c>
      <c r="D135" s="658"/>
      <c r="E135" s="658"/>
      <c r="F135" s="658"/>
      <c r="G135" s="658"/>
      <c r="H135" s="658"/>
      <c r="I135" s="658"/>
      <c r="J135" s="658"/>
      <c r="K135" s="658"/>
      <c r="L135" s="658"/>
      <c r="M135" s="658"/>
      <c r="N135" s="658"/>
      <c r="O135" s="658"/>
    </row>
    <row r="137" spans="1:16" x14ac:dyDescent="0.45">
      <c r="C137" s="9" t="s">
        <v>493</v>
      </c>
    </row>
    <row r="138" spans="1:16" ht="64.150000000000006" customHeight="1" x14ac:dyDescent="0.45">
      <c r="C138" s="657" t="s">
        <v>693</v>
      </c>
      <c r="D138" s="658"/>
      <c r="E138" s="658"/>
      <c r="F138" s="658"/>
      <c r="G138" s="658"/>
      <c r="H138" s="658"/>
      <c r="I138" s="658"/>
      <c r="J138" s="658"/>
      <c r="K138" s="658"/>
      <c r="L138" s="658"/>
      <c r="M138" s="658"/>
      <c r="N138" s="658"/>
      <c r="O138" s="658"/>
    </row>
    <row r="140" spans="1:16" ht="6.65" customHeight="1" x14ac:dyDescent="0.45"/>
    <row r="141" spans="1:16" x14ac:dyDescent="0.45">
      <c r="B141" s="9" t="s">
        <v>334</v>
      </c>
      <c r="C141" s="466" t="s">
        <v>494</v>
      </c>
    </row>
    <row r="142" spans="1:16" x14ac:dyDescent="0.45">
      <c r="C142" s="9" t="s">
        <v>495</v>
      </c>
    </row>
    <row r="143" spans="1:16" x14ac:dyDescent="0.45">
      <c r="C143" s="467" t="s">
        <v>496</v>
      </c>
      <c r="D143" s="9" t="s">
        <v>497</v>
      </c>
    </row>
    <row r="144" spans="1:16" x14ac:dyDescent="0.45">
      <c r="C144" s="467" t="s">
        <v>496</v>
      </c>
      <c r="D144" s="9" t="s">
        <v>498</v>
      </c>
    </row>
    <row r="146" spans="1:15" x14ac:dyDescent="0.45">
      <c r="C146" s="466" t="s">
        <v>499</v>
      </c>
    </row>
    <row r="147" spans="1:15" ht="75.650000000000006" customHeight="1" x14ac:dyDescent="0.45">
      <c r="C147" s="654" t="s">
        <v>500</v>
      </c>
      <c r="D147" s="655"/>
      <c r="E147" s="655"/>
      <c r="F147" s="655"/>
      <c r="G147" s="655"/>
      <c r="H147" s="655"/>
      <c r="I147" s="655"/>
      <c r="J147" s="655"/>
      <c r="K147" s="655"/>
      <c r="L147" s="655"/>
      <c r="M147" s="655"/>
      <c r="N147" s="655"/>
      <c r="O147" s="655"/>
    </row>
    <row r="148" spans="1:15" ht="107.5" customHeight="1" x14ac:dyDescent="0.45">
      <c r="C148" s="657" t="s">
        <v>501</v>
      </c>
      <c r="D148" s="658"/>
      <c r="E148" s="658"/>
      <c r="F148" s="658"/>
      <c r="G148" s="658"/>
      <c r="H148" s="658"/>
      <c r="I148" s="658"/>
      <c r="J148" s="658"/>
      <c r="K148" s="658"/>
      <c r="L148" s="658"/>
      <c r="M148" s="658"/>
      <c r="N148" s="658"/>
      <c r="O148" s="658"/>
    </row>
    <row r="149" spans="1:15" ht="91.15" customHeight="1" x14ac:dyDescent="0.45">
      <c r="C149" s="657" t="s">
        <v>502</v>
      </c>
      <c r="D149" s="658"/>
      <c r="E149" s="658"/>
      <c r="F149" s="658"/>
      <c r="G149" s="658"/>
      <c r="H149" s="658"/>
      <c r="I149" s="658"/>
      <c r="J149" s="658"/>
      <c r="K149" s="658"/>
      <c r="L149" s="658"/>
      <c r="M149" s="658"/>
      <c r="N149" s="658"/>
      <c r="O149" s="658"/>
    </row>
    <row r="151" spans="1:15" x14ac:dyDescent="0.45">
      <c r="C151" s="466" t="s">
        <v>503</v>
      </c>
    </row>
    <row r="152" spans="1:15" ht="86.5" customHeight="1" x14ac:dyDescent="0.45">
      <c r="C152" s="654" t="s">
        <v>504</v>
      </c>
      <c r="D152" s="655"/>
      <c r="E152" s="655"/>
      <c r="F152" s="655"/>
      <c r="G152" s="655"/>
      <c r="H152" s="655"/>
      <c r="I152" s="655"/>
      <c r="J152" s="655"/>
      <c r="K152" s="655"/>
      <c r="L152" s="655"/>
      <c r="M152" s="655"/>
      <c r="N152" s="655"/>
      <c r="O152" s="655"/>
    </row>
    <row r="153" spans="1:15" x14ac:dyDescent="0.45">
      <c r="C153" s="9" t="s">
        <v>496</v>
      </c>
      <c r="D153" s="9" t="s">
        <v>505</v>
      </c>
    </row>
    <row r="154" spans="1:15" ht="40.9" customHeight="1" x14ac:dyDescent="0.45">
      <c r="D154" s="657" t="s">
        <v>506</v>
      </c>
      <c r="E154" s="657"/>
      <c r="F154" s="657"/>
      <c r="G154" s="657"/>
      <c r="H154" s="657"/>
      <c r="I154" s="657"/>
      <c r="J154" s="657"/>
      <c r="K154" s="657"/>
      <c r="L154" s="657"/>
      <c r="M154" s="657"/>
      <c r="N154" s="657"/>
      <c r="O154" s="657"/>
    </row>
    <row r="156" spans="1:15" x14ac:dyDescent="0.45">
      <c r="C156" s="9" t="s">
        <v>496</v>
      </c>
      <c r="D156" s="9" t="s">
        <v>507</v>
      </c>
    </row>
    <row r="157" spans="1:15" ht="68.5" customHeight="1" x14ac:dyDescent="0.45">
      <c r="D157" s="654" t="s">
        <v>692</v>
      </c>
      <c r="E157" s="655"/>
      <c r="F157" s="655"/>
      <c r="G157" s="655"/>
      <c r="H157" s="655"/>
      <c r="I157" s="655"/>
      <c r="J157" s="655"/>
      <c r="K157" s="655"/>
      <c r="L157" s="655"/>
      <c r="M157" s="655"/>
      <c r="N157" s="655"/>
      <c r="O157" s="655"/>
    </row>
    <row r="158" spans="1:15" x14ac:dyDescent="0.45">
      <c r="A158" s="9">
        <v>2.17</v>
      </c>
      <c r="B158" s="466"/>
      <c r="C158" s="466" t="s">
        <v>508</v>
      </c>
    </row>
    <row r="159" spans="1:15" x14ac:dyDescent="0.45">
      <c r="C159" s="9" t="s">
        <v>509</v>
      </c>
    </row>
  </sheetData>
  <mergeCells count="62">
    <mergeCell ref="A2:J2"/>
    <mergeCell ref="B91:N91"/>
    <mergeCell ref="B92:N92"/>
    <mergeCell ref="B93:N93"/>
    <mergeCell ref="B94:N94"/>
    <mergeCell ref="C89:E89"/>
    <mergeCell ref="C90:E90"/>
    <mergeCell ref="B27:P27"/>
    <mergeCell ref="B8:O8"/>
    <mergeCell ref="B10:N11"/>
    <mergeCell ref="B13:P13"/>
    <mergeCell ref="B15:P15"/>
    <mergeCell ref="B17:O19"/>
    <mergeCell ref="B20:P20"/>
    <mergeCell ref="B22:O25"/>
    <mergeCell ref="B103:O103"/>
    <mergeCell ref="B105:O105"/>
    <mergeCell ref="B106:O107"/>
    <mergeCell ref="B71:P71"/>
    <mergeCell ref="B29:O30"/>
    <mergeCell ref="B31:O33"/>
    <mergeCell ref="B34:P34"/>
    <mergeCell ref="B36:O43"/>
    <mergeCell ref="B44:P44"/>
    <mergeCell ref="B46:O47"/>
    <mergeCell ref="B53:O56"/>
    <mergeCell ref="B60:O60"/>
    <mergeCell ref="B62:P62"/>
    <mergeCell ref="B64:O66"/>
    <mergeCell ref="B69:P70"/>
    <mergeCell ref="C85:E85"/>
    <mergeCell ref="B102:P102"/>
    <mergeCell ref="B72:O72"/>
    <mergeCell ref="B73:O73"/>
    <mergeCell ref="C74:N74"/>
    <mergeCell ref="B75:O75"/>
    <mergeCell ref="B77:P77"/>
    <mergeCell ref="B79:O79"/>
    <mergeCell ref="B81:O81"/>
    <mergeCell ref="B82:P83"/>
    <mergeCell ref="B84:P84"/>
    <mergeCell ref="B96:P96"/>
    <mergeCell ref="B99:O100"/>
    <mergeCell ref="G85:I85"/>
    <mergeCell ref="C86:E86"/>
    <mergeCell ref="G86:I90"/>
    <mergeCell ref="C87:E87"/>
    <mergeCell ref="B109:P109"/>
    <mergeCell ref="B111:O112"/>
    <mergeCell ref="C149:O149"/>
    <mergeCell ref="C152:O152"/>
    <mergeCell ref="D154:O154"/>
    <mergeCell ref="B113:P113"/>
    <mergeCell ref="D157:O157"/>
    <mergeCell ref="B114:O114"/>
    <mergeCell ref="B117:O120"/>
    <mergeCell ref="B122:O124"/>
    <mergeCell ref="C132:O132"/>
    <mergeCell ref="C135:O135"/>
    <mergeCell ref="C138:O138"/>
    <mergeCell ref="C147:O147"/>
    <mergeCell ref="C148:O148"/>
  </mergeCells>
  <pageMargins left="0.23622047244094491" right="0.23622047244094491" top="0.34" bottom="0.23622047244094491" header="0.31" footer="0.31496062992125984"/>
  <pageSetup scale="54" orientation="portrait" r:id="rId1"/>
  <rowBreaks count="2" manualBreakCount="2">
    <brk id="66" max="14" man="1"/>
    <brk id="115"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2:O73"/>
  <sheetViews>
    <sheetView showGridLines="0" view="pageBreakPreview" zoomScale="70" zoomScaleNormal="100" zoomScaleSheetLayoutView="70" workbookViewId="0">
      <selection activeCell="K66" sqref="K66:N73"/>
    </sheetView>
  </sheetViews>
  <sheetFormatPr defaultColWidth="9.26953125" defaultRowHeight="13.5" x14ac:dyDescent="0.35"/>
  <cols>
    <col min="1" max="1" width="10.54296875" style="420" customWidth="1"/>
    <col min="2" max="3" width="9.26953125" style="420"/>
    <col min="4" max="4" width="13" style="420" bestFit="1" customWidth="1"/>
    <col min="5" max="5" width="16.7265625" style="420" bestFit="1" customWidth="1"/>
    <col min="6" max="6" width="12.453125" style="420" bestFit="1" customWidth="1"/>
    <col min="7" max="7" width="13.7265625" style="420" customWidth="1"/>
    <col min="8" max="8" width="13" style="420" bestFit="1" customWidth="1"/>
    <col min="9" max="9" width="11.26953125" style="420" customWidth="1"/>
    <col min="10" max="10" width="14.7265625" style="420" customWidth="1"/>
    <col min="11" max="11" width="11.7265625" style="420" customWidth="1"/>
    <col min="12" max="12" width="12.7265625" style="420" customWidth="1"/>
    <col min="13" max="13" width="14.7265625" style="420" customWidth="1"/>
    <col min="14" max="14" width="6.7265625" style="420" customWidth="1"/>
    <col min="15" max="15" width="24.1796875" style="420" customWidth="1"/>
    <col min="16" max="16384" width="9.26953125" style="420"/>
  </cols>
  <sheetData>
    <row r="2" spans="1:15" ht="22.5" x14ac:dyDescent="0.35">
      <c r="A2" s="421" t="str">
        <f>'Note 1-2'!A2</f>
        <v>ABC INDIA LIMITED</v>
      </c>
    </row>
    <row r="3" spans="1:15" s="468" customFormat="1" ht="19.5" thickBot="1" x14ac:dyDescent="0.5">
      <c r="A3" s="423" t="str">
        <f>'Note 1-2'!A3</f>
        <v>Notes forming part of the Financial Statements for the year ended March 31, 2025</v>
      </c>
    </row>
    <row r="4" spans="1:15" ht="19.5" thickTop="1" x14ac:dyDescent="0.45">
      <c r="A4" s="469"/>
      <c r="B4" s="469"/>
      <c r="C4" s="469"/>
      <c r="D4" s="469"/>
      <c r="E4" s="469"/>
      <c r="F4" s="469"/>
      <c r="G4" s="469"/>
      <c r="H4" s="469"/>
      <c r="I4" s="469"/>
      <c r="J4" s="469"/>
      <c r="K4" s="469"/>
      <c r="L4" s="469"/>
      <c r="M4" s="469"/>
      <c r="N4" s="469"/>
      <c r="O4" s="469"/>
    </row>
    <row r="5" spans="1:15" ht="19" x14ac:dyDescent="0.45">
      <c r="A5" s="470" t="s">
        <v>109</v>
      </c>
      <c r="B5" s="763" t="s">
        <v>16</v>
      </c>
      <c r="C5" s="763"/>
      <c r="D5" s="763"/>
      <c r="E5" s="763"/>
      <c r="F5" s="763"/>
      <c r="G5" s="763"/>
      <c r="H5" s="455"/>
      <c r="I5" s="455"/>
      <c r="J5" s="469"/>
      <c r="K5" s="469"/>
      <c r="L5" s="469"/>
      <c r="M5" s="471"/>
      <c r="N5" s="469"/>
      <c r="O5" s="469"/>
    </row>
    <row r="6" spans="1:15" ht="19" x14ac:dyDescent="0.45">
      <c r="A6" s="470"/>
      <c r="B6" s="440"/>
      <c r="C6" s="440"/>
      <c r="D6" s="440"/>
      <c r="E6" s="440"/>
      <c r="F6" s="440"/>
      <c r="G6" s="440"/>
      <c r="H6" s="455"/>
      <c r="I6" s="455"/>
      <c r="J6" s="440"/>
      <c r="K6" s="440"/>
      <c r="L6" s="455"/>
      <c r="M6" s="472"/>
      <c r="N6" s="469"/>
      <c r="O6" s="469"/>
    </row>
    <row r="7" spans="1:15" ht="18.75" customHeight="1" x14ac:dyDescent="0.35">
      <c r="A7" s="440"/>
      <c r="B7" s="764" t="s">
        <v>37</v>
      </c>
      <c r="C7" s="765"/>
      <c r="D7" s="765"/>
      <c r="E7" s="766"/>
      <c r="F7" s="692" t="s">
        <v>768</v>
      </c>
      <c r="G7" s="693"/>
      <c r="H7" s="693"/>
      <c r="I7" s="693"/>
      <c r="J7" s="692" t="s">
        <v>459</v>
      </c>
      <c r="K7" s="693"/>
      <c r="L7" s="693"/>
      <c r="M7" s="735"/>
    </row>
    <row r="8" spans="1:15" ht="19" x14ac:dyDescent="0.35">
      <c r="A8" s="440"/>
      <c r="B8" s="767"/>
      <c r="C8" s="768"/>
      <c r="D8" s="768"/>
      <c r="E8" s="769"/>
      <c r="F8" s="736" t="s">
        <v>110</v>
      </c>
      <c r="G8" s="737"/>
      <c r="H8" s="736" t="s">
        <v>111</v>
      </c>
      <c r="I8" s="774"/>
      <c r="J8" s="736" t="s">
        <v>110</v>
      </c>
      <c r="K8" s="737"/>
      <c r="L8" s="736" t="s">
        <v>111</v>
      </c>
      <c r="M8" s="737"/>
    </row>
    <row r="9" spans="1:15" ht="19" x14ac:dyDescent="0.45">
      <c r="A9" s="440"/>
      <c r="B9" s="770" t="s">
        <v>112</v>
      </c>
      <c r="C9" s="771"/>
      <c r="D9" s="771"/>
      <c r="E9" s="771"/>
      <c r="F9" s="738"/>
      <c r="G9" s="739"/>
      <c r="H9" s="740"/>
      <c r="I9" s="739"/>
      <c r="J9" s="738"/>
      <c r="K9" s="739"/>
      <c r="L9" s="740"/>
      <c r="M9" s="739"/>
    </row>
    <row r="10" spans="1:15" ht="19" x14ac:dyDescent="0.45">
      <c r="A10" s="440"/>
      <c r="B10" s="758" t="s">
        <v>831</v>
      </c>
      <c r="C10" s="759"/>
      <c r="D10" s="759"/>
      <c r="E10" s="760"/>
      <c r="F10" s="745">
        <f>16000000</f>
        <v>16000000</v>
      </c>
      <c r="G10" s="746"/>
      <c r="H10" s="745">
        <f>F10*10</f>
        <v>160000000</v>
      </c>
      <c r="I10" s="746"/>
      <c r="J10" s="745">
        <f>300000</f>
        <v>300000</v>
      </c>
      <c r="K10" s="746"/>
      <c r="L10" s="745">
        <f>J10*100</f>
        <v>30000000</v>
      </c>
      <c r="M10" s="746"/>
    </row>
    <row r="11" spans="1:15" ht="19" x14ac:dyDescent="0.45">
      <c r="A11" s="440"/>
      <c r="B11" s="772" t="s">
        <v>113</v>
      </c>
      <c r="C11" s="773"/>
      <c r="D11" s="773"/>
      <c r="E11" s="773"/>
      <c r="F11" s="742"/>
      <c r="G11" s="743"/>
      <c r="H11" s="744"/>
      <c r="I11" s="743"/>
      <c r="J11" s="742"/>
      <c r="K11" s="743"/>
      <c r="L11" s="744"/>
      <c r="M11" s="743"/>
    </row>
    <row r="12" spans="1:15" ht="19" x14ac:dyDescent="0.45">
      <c r="A12" s="440"/>
      <c r="B12" s="758" t="s">
        <v>765</v>
      </c>
      <c r="C12" s="759"/>
      <c r="D12" s="759"/>
      <c r="E12" s="760"/>
      <c r="F12" s="745">
        <v>9975360</v>
      </c>
      <c r="G12" s="746"/>
      <c r="H12" s="747">
        <f>F12*10</f>
        <v>99753600</v>
      </c>
      <c r="I12" s="746"/>
      <c r="J12" s="745">
        <v>166256</v>
      </c>
      <c r="K12" s="746"/>
      <c r="L12" s="747">
        <f>J12*100</f>
        <v>16625600</v>
      </c>
      <c r="M12" s="746"/>
    </row>
    <row r="13" spans="1:15" ht="19.5" thickBot="1" x14ac:dyDescent="0.5">
      <c r="A13" s="440"/>
      <c r="B13" s="755" t="s">
        <v>32</v>
      </c>
      <c r="C13" s="756"/>
      <c r="D13" s="756"/>
      <c r="E13" s="757"/>
      <c r="F13" s="690">
        <f>SUM(F12:F12)</f>
        <v>9975360</v>
      </c>
      <c r="G13" s="691"/>
      <c r="H13" s="690">
        <f>SUM(H12:H12)</f>
        <v>99753600</v>
      </c>
      <c r="I13" s="691"/>
      <c r="J13" s="690">
        <f>SUM(J12:J12)</f>
        <v>166256</v>
      </c>
      <c r="K13" s="691"/>
      <c r="L13" s="690">
        <f>SUM(L12:L12)</f>
        <v>16625600</v>
      </c>
      <c r="M13" s="691"/>
    </row>
    <row r="14" spans="1:15" ht="19.5" thickTop="1" x14ac:dyDescent="0.45">
      <c r="A14" s="440"/>
      <c r="B14" s="105"/>
      <c r="C14" s="105"/>
      <c r="D14" s="105"/>
      <c r="E14" s="105"/>
      <c r="F14" s="105"/>
      <c r="G14" s="105"/>
      <c r="H14" s="182"/>
      <c r="I14" s="182"/>
      <c r="J14" s="105"/>
      <c r="K14" s="105"/>
      <c r="L14" s="182"/>
      <c r="M14" s="182"/>
    </row>
    <row r="15" spans="1:15" ht="18.75" customHeight="1" x14ac:dyDescent="0.35">
      <c r="A15" s="470" t="s">
        <v>114</v>
      </c>
      <c r="B15" s="741" t="s">
        <v>115</v>
      </c>
      <c r="C15" s="741"/>
      <c r="D15" s="741"/>
      <c r="E15" s="741"/>
      <c r="F15" s="741"/>
      <c r="G15" s="741"/>
      <c r="H15" s="741"/>
      <c r="I15" s="741"/>
      <c r="J15" s="741"/>
      <c r="K15" s="741"/>
      <c r="L15" s="741"/>
      <c r="M15" s="337"/>
    </row>
    <row r="16" spans="1:15" ht="19" x14ac:dyDescent="0.45">
      <c r="A16" s="470"/>
      <c r="B16" s="473"/>
      <c r="C16" s="473"/>
      <c r="D16" s="473"/>
      <c r="E16" s="473"/>
      <c r="F16" s="473"/>
      <c r="G16" s="473"/>
      <c r="H16" s="182"/>
      <c r="I16" s="182"/>
      <c r="J16" s="290"/>
      <c r="K16" s="290"/>
      <c r="L16" s="337"/>
      <c r="M16" s="337"/>
    </row>
    <row r="17" spans="1:15" ht="19" x14ac:dyDescent="0.45">
      <c r="A17" s="440"/>
      <c r="B17" s="390" t="s">
        <v>116</v>
      </c>
      <c r="C17" s="105"/>
      <c r="D17" s="105"/>
      <c r="E17" s="105"/>
      <c r="F17" s="105"/>
      <c r="G17" s="105"/>
      <c r="H17" s="182"/>
      <c r="I17" s="182"/>
      <c r="J17" s="290"/>
      <c r="K17" s="290"/>
      <c r="L17" s="337"/>
      <c r="M17" s="337"/>
    </row>
    <row r="18" spans="1:15" ht="18.75" customHeight="1" x14ac:dyDescent="0.35">
      <c r="A18" s="440"/>
      <c r="B18" s="640" t="s">
        <v>37</v>
      </c>
      <c r="C18" s="641"/>
      <c r="D18" s="641"/>
      <c r="E18" s="642"/>
      <c r="F18" s="692" t="s">
        <v>768</v>
      </c>
      <c r="G18" s="693"/>
      <c r="H18" s="693"/>
      <c r="I18" s="693"/>
      <c r="J18" s="622" t="s">
        <v>459</v>
      </c>
      <c r="K18" s="623"/>
      <c r="L18" s="623"/>
      <c r="M18" s="624"/>
    </row>
    <row r="19" spans="1:15" ht="19" x14ac:dyDescent="0.35">
      <c r="A19" s="440"/>
      <c r="B19" s="643"/>
      <c r="C19" s="644"/>
      <c r="D19" s="644"/>
      <c r="E19" s="645"/>
      <c r="F19" s="753" t="s">
        <v>110</v>
      </c>
      <c r="G19" s="754"/>
      <c r="H19" s="753" t="s">
        <v>111</v>
      </c>
      <c r="I19" s="762"/>
      <c r="J19" s="753" t="s">
        <v>110</v>
      </c>
      <c r="K19" s="754"/>
      <c r="L19" s="753" t="s">
        <v>111</v>
      </c>
      <c r="M19" s="754"/>
    </row>
    <row r="20" spans="1:15" ht="18.75" customHeight="1" x14ac:dyDescent="0.45">
      <c r="A20" s="440"/>
      <c r="B20" s="720" t="s">
        <v>327</v>
      </c>
      <c r="C20" s="721"/>
      <c r="D20" s="721"/>
      <c r="E20" s="761"/>
      <c r="F20" s="688">
        <v>166256</v>
      </c>
      <c r="G20" s="689"/>
      <c r="H20" s="688">
        <f>F20*10</f>
        <v>1662560</v>
      </c>
      <c r="I20" s="689"/>
      <c r="J20" s="688">
        <f>J12</f>
        <v>166256</v>
      </c>
      <c r="K20" s="689"/>
      <c r="L20" s="688">
        <f>L12</f>
        <v>16625600</v>
      </c>
      <c r="M20" s="689"/>
    </row>
    <row r="21" spans="1:15" ht="18.75" customHeight="1" x14ac:dyDescent="0.45">
      <c r="A21" s="440"/>
      <c r="B21" s="758" t="s">
        <v>328</v>
      </c>
      <c r="C21" s="759"/>
      <c r="D21" s="759"/>
      <c r="E21" s="760"/>
      <c r="F21" s="688">
        <f>8312800+1496304</f>
        <v>9809104</v>
      </c>
      <c r="G21" s="689"/>
      <c r="H21" s="688">
        <f>F21*10</f>
        <v>98091040</v>
      </c>
      <c r="I21" s="689"/>
      <c r="J21" s="688">
        <v>0</v>
      </c>
      <c r="K21" s="689"/>
      <c r="L21" s="688">
        <v>0</v>
      </c>
      <c r="M21" s="689"/>
    </row>
    <row r="22" spans="1:15" ht="18.75" customHeight="1" x14ac:dyDescent="0.45">
      <c r="A22" s="440"/>
      <c r="B22" s="720" t="s">
        <v>117</v>
      </c>
      <c r="C22" s="721"/>
      <c r="D22" s="721"/>
      <c r="E22" s="721"/>
      <c r="F22" s="688">
        <v>0</v>
      </c>
      <c r="G22" s="689"/>
      <c r="H22" s="688">
        <v>0</v>
      </c>
      <c r="I22" s="689"/>
      <c r="J22" s="688">
        <v>0</v>
      </c>
      <c r="K22" s="689"/>
      <c r="L22" s="688">
        <v>0</v>
      </c>
      <c r="M22" s="689"/>
    </row>
    <row r="23" spans="1:15" ht="18.75" customHeight="1" thickBot="1" x14ac:dyDescent="0.5">
      <c r="A23" s="440"/>
      <c r="B23" s="722" t="s">
        <v>329</v>
      </c>
      <c r="C23" s="723"/>
      <c r="D23" s="723"/>
      <c r="E23" s="723"/>
      <c r="F23" s="690">
        <f>F20+F21-F22</f>
        <v>9975360</v>
      </c>
      <c r="G23" s="691"/>
      <c r="H23" s="690">
        <f>H20+H21-H22</f>
        <v>99753600</v>
      </c>
      <c r="I23" s="691"/>
      <c r="J23" s="690">
        <f>J20+J21-J22</f>
        <v>166256</v>
      </c>
      <c r="K23" s="691"/>
      <c r="L23" s="690">
        <f>L20+L21-L22</f>
        <v>16625600</v>
      </c>
      <c r="M23" s="691"/>
    </row>
    <row r="24" spans="1:15" ht="19.5" thickTop="1" x14ac:dyDescent="0.45">
      <c r="A24" s="440"/>
      <c r="B24" s="732"/>
      <c r="C24" s="732"/>
      <c r="D24" s="732"/>
      <c r="E24" s="732"/>
      <c r="N24" s="469"/>
      <c r="O24" s="469"/>
    </row>
    <row r="25" spans="1:15" ht="19" x14ac:dyDescent="0.45">
      <c r="A25" s="440"/>
      <c r="B25" s="435"/>
      <c r="C25" s="435"/>
      <c r="D25" s="435"/>
      <c r="E25" s="435"/>
      <c r="F25" s="1"/>
      <c r="G25" s="1"/>
      <c r="H25" s="1"/>
      <c r="I25" s="1"/>
      <c r="J25" s="1"/>
      <c r="K25" s="1"/>
      <c r="L25" s="1"/>
      <c r="M25" s="1"/>
      <c r="N25" s="469"/>
      <c r="O25" s="469"/>
    </row>
    <row r="26" spans="1:15" ht="19" x14ac:dyDescent="0.45">
      <c r="A26" s="429" t="s">
        <v>118</v>
      </c>
      <c r="B26" s="726" t="s">
        <v>119</v>
      </c>
      <c r="C26" s="726"/>
      <c r="D26" s="726"/>
      <c r="E26" s="726"/>
      <c r="F26" s="726"/>
      <c r="G26" s="726"/>
      <c r="H26" s="455"/>
      <c r="I26" s="455"/>
      <c r="J26" s="469"/>
      <c r="K26" s="469"/>
      <c r="L26" s="469"/>
      <c r="M26" s="469"/>
      <c r="N26" s="469"/>
      <c r="O26" s="469"/>
    </row>
    <row r="27" spans="1:15" ht="19" x14ac:dyDescent="0.45">
      <c r="A27" s="429"/>
      <c r="B27" s="474"/>
      <c r="C27" s="474"/>
      <c r="D27" s="474"/>
      <c r="E27" s="474"/>
      <c r="F27" s="474"/>
      <c r="G27" s="474"/>
      <c r="H27" s="455"/>
      <c r="I27" s="455"/>
      <c r="J27" s="469"/>
      <c r="K27" s="469"/>
      <c r="L27" s="469"/>
      <c r="M27" s="469"/>
      <c r="N27" s="469"/>
      <c r="O27" s="469"/>
    </row>
    <row r="28" spans="1:15" ht="19" x14ac:dyDescent="0.35">
      <c r="A28" s="440"/>
      <c r="B28" s="660" t="s">
        <v>764</v>
      </c>
      <c r="C28" s="660"/>
      <c r="D28" s="660"/>
      <c r="E28" s="660"/>
      <c r="F28" s="660"/>
      <c r="G28" s="660"/>
      <c r="H28" s="660"/>
      <c r="I28" s="660"/>
      <c r="J28" s="660"/>
      <c r="K28" s="660"/>
      <c r="L28" s="660"/>
      <c r="M28" s="660"/>
      <c r="N28" s="660"/>
      <c r="O28" s="660"/>
    </row>
    <row r="29" spans="1:15" ht="19" x14ac:dyDescent="0.35">
      <c r="A29" s="440"/>
      <c r="B29" s="660"/>
      <c r="C29" s="660"/>
      <c r="D29" s="660"/>
      <c r="E29" s="660"/>
      <c r="F29" s="660"/>
      <c r="G29" s="660"/>
      <c r="H29" s="660"/>
      <c r="I29" s="660"/>
      <c r="J29" s="660"/>
      <c r="K29" s="660"/>
      <c r="L29" s="660"/>
      <c r="M29" s="660"/>
      <c r="N29" s="660"/>
      <c r="O29" s="660"/>
    </row>
    <row r="30" spans="1:15" ht="45.65" customHeight="1" x14ac:dyDescent="0.35">
      <c r="A30" s="440"/>
      <c r="B30" s="660"/>
      <c r="C30" s="660"/>
      <c r="D30" s="660"/>
      <c r="E30" s="660"/>
      <c r="F30" s="660"/>
      <c r="G30" s="660"/>
      <c r="H30" s="660"/>
      <c r="I30" s="660"/>
      <c r="J30" s="660"/>
      <c r="K30" s="660"/>
      <c r="L30" s="660"/>
      <c r="M30" s="660"/>
      <c r="N30" s="660"/>
      <c r="O30" s="660"/>
    </row>
    <row r="31" spans="1:15" ht="19" x14ac:dyDescent="0.45">
      <c r="A31" s="440"/>
      <c r="B31" s="441"/>
      <c r="C31" s="441"/>
      <c r="D31" s="441"/>
      <c r="E31" s="441"/>
      <c r="F31" s="441"/>
      <c r="G31" s="441"/>
      <c r="H31" s="455"/>
      <c r="I31" s="455"/>
      <c r="J31" s="469"/>
      <c r="K31" s="469"/>
      <c r="L31" s="469"/>
      <c r="M31" s="469"/>
      <c r="N31" s="469"/>
      <c r="O31" s="469"/>
    </row>
    <row r="32" spans="1:15" ht="19" x14ac:dyDescent="0.35">
      <c r="A32" s="470" t="s">
        <v>120</v>
      </c>
      <c r="B32" s="727" t="s">
        <v>657</v>
      </c>
      <c r="C32" s="727"/>
      <c r="D32" s="727"/>
      <c r="E32" s="727"/>
      <c r="F32" s="727"/>
      <c r="G32" s="727"/>
      <c r="H32" s="727"/>
      <c r="I32" s="727"/>
      <c r="J32" s="727"/>
      <c r="K32" s="727"/>
      <c r="L32" s="727"/>
      <c r="M32" s="727"/>
      <c r="N32" s="727"/>
      <c r="O32" s="727"/>
    </row>
    <row r="33" spans="1:15" ht="19" x14ac:dyDescent="0.35">
      <c r="A33" s="470"/>
      <c r="B33" s="727"/>
      <c r="C33" s="727"/>
      <c r="D33" s="727"/>
      <c r="E33" s="727"/>
      <c r="F33" s="727"/>
      <c r="G33" s="727"/>
      <c r="H33" s="727"/>
      <c r="I33" s="727"/>
      <c r="J33" s="727"/>
      <c r="K33" s="727"/>
      <c r="L33" s="727"/>
      <c r="M33" s="727"/>
      <c r="N33" s="727"/>
      <c r="O33" s="727"/>
    </row>
    <row r="34" spans="1:15" ht="16.149999999999999" customHeight="1" x14ac:dyDescent="0.35">
      <c r="A34" s="470"/>
      <c r="B34" s="443"/>
      <c r="C34" s="443"/>
      <c r="D34" s="443"/>
      <c r="E34" s="443"/>
      <c r="F34" s="443"/>
      <c r="G34" s="443"/>
      <c r="H34" s="443"/>
      <c r="I34" s="443"/>
      <c r="J34" s="443"/>
      <c r="K34" s="443"/>
      <c r="L34" s="443"/>
      <c r="M34" s="443"/>
      <c r="N34" s="443"/>
      <c r="O34" s="443"/>
    </row>
    <row r="35" spans="1:15" ht="19" hidden="1" x14ac:dyDescent="0.35">
      <c r="A35" s="470"/>
      <c r="B35" s="443"/>
      <c r="C35" s="443"/>
      <c r="D35" s="443"/>
      <c r="E35" s="443"/>
      <c r="F35" s="443"/>
      <c r="G35" s="443"/>
      <c r="H35" s="443"/>
      <c r="I35" s="443"/>
      <c r="J35" s="443"/>
      <c r="K35" s="443"/>
      <c r="L35" s="443"/>
      <c r="M35" s="443"/>
      <c r="N35" s="443"/>
      <c r="O35" s="443"/>
    </row>
    <row r="36" spans="1:15" ht="18" customHeight="1" x14ac:dyDescent="0.35">
      <c r="A36" s="470"/>
      <c r="B36" s="748" t="s">
        <v>646</v>
      </c>
      <c r="C36" s="748"/>
      <c r="D36" s="748"/>
      <c r="E36" s="748"/>
      <c r="F36" s="703" t="s">
        <v>647</v>
      </c>
      <c r="G36" s="704"/>
      <c r="H36" s="703" t="s">
        <v>647</v>
      </c>
      <c r="I36" s="704"/>
      <c r="J36" s="703" t="s">
        <v>647</v>
      </c>
      <c r="K36" s="704"/>
      <c r="L36" s="703" t="s">
        <v>647</v>
      </c>
      <c r="M36" s="704"/>
      <c r="N36" s="703" t="s">
        <v>647</v>
      </c>
      <c r="O36" s="704"/>
    </row>
    <row r="37" spans="1:15" ht="19" x14ac:dyDescent="0.35">
      <c r="A37" s="470"/>
      <c r="B37" s="748"/>
      <c r="C37" s="748"/>
      <c r="D37" s="748"/>
      <c r="E37" s="748"/>
      <c r="F37" s="705" t="s">
        <v>744</v>
      </c>
      <c r="G37" s="706"/>
      <c r="H37" s="713" t="s">
        <v>648</v>
      </c>
      <c r="I37" s="714"/>
      <c r="J37" s="713" t="s">
        <v>649</v>
      </c>
      <c r="K37" s="714"/>
      <c r="L37" s="713" t="s">
        <v>655</v>
      </c>
      <c r="M37" s="714"/>
      <c r="N37" s="713" t="s">
        <v>656</v>
      </c>
      <c r="O37" s="714"/>
    </row>
    <row r="38" spans="1:15" ht="19" x14ac:dyDescent="0.45">
      <c r="A38" s="470"/>
      <c r="B38" s="749" t="s">
        <v>650</v>
      </c>
      <c r="C38" s="749"/>
      <c r="D38" s="749"/>
      <c r="E38" s="749"/>
      <c r="F38" s="707"/>
      <c r="G38" s="707"/>
      <c r="H38" s="707"/>
      <c r="I38" s="707"/>
      <c r="J38" s="707"/>
      <c r="K38" s="707"/>
      <c r="L38" s="707"/>
      <c r="M38" s="707"/>
      <c r="N38" s="707"/>
      <c r="O38" s="707"/>
    </row>
    <row r="39" spans="1:15" ht="19" x14ac:dyDescent="0.35">
      <c r="A39" s="470"/>
      <c r="B39" s="750" t="s">
        <v>651</v>
      </c>
      <c r="C39" s="750"/>
      <c r="D39" s="750"/>
      <c r="E39" s="750"/>
      <c r="F39" s="708" t="s">
        <v>652</v>
      </c>
      <c r="G39" s="709"/>
      <c r="H39" s="708" t="s">
        <v>652</v>
      </c>
      <c r="I39" s="709"/>
      <c r="J39" s="708" t="s">
        <v>652</v>
      </c>
      <c r="K39" s="709"/>
      <c r="L39" s="708" t="s">
        <v>652</v>
      </c>
      <c r="M39" s="709"/>
      <c r="N39" s="708" t="s">
        <v>652</v>
      </c>
      <c r="O39" s="709"/>
    </row>
    <row r="40" spans="1:15" ht="19" x14ac:dyDescent="0.35">
      <c r="A40" s="470"/>
      <c r="B40" s="750"/>
      <c r="C40" s="750"/>
      <c r="D40" s="750"/>
      <c r="E40" s="750"/>
      <c r="F40" s="710"/>
      <c r="G40" s="711"/>
      <c r="H40" s="710"/>
      <c r="I40" s="711"/>
      <c r="J40" s="710"/>
      <c r="K40" s="711"/>
      <c r="L40" s="710"/>
      <c r="M40" s="711"/>
      <c r="N40" s="710"/>
      <c r="O40" s="711"/>
    </row>
    <row r="41" spans="1:15" ht="19" x14ac:dyDescent="0.35">
      <c r="A41" s="470"/>
      <c r="B41" s="750" t="s">
        <v>653</v>
      </c>
      <c r="C41" s="750"/>
      <c r="D41" s="750"/>
      <c r="E41" s="750"/>
      <c r="F41" s="776">
        <v>8312800</v>
      </c>
      <c r="G41" s="777"/>
      <c r="H41" s="708" t="s">
        <v>652</v>
      </c>
      <c r="I41" s="709"/>
      <c r="J41" s="708" t="s">
        <v>652</v>
      </c>
      <c r="K41" s="709"/>
      <c r="L41" s="708" t="s">
        <v>652</v>
      </c>
      <c r="M41" s="709"/>
      <c r="N41" s="708" t="s">
        <v>652</v>
      </c>
      <c r="O41" s="709"/>
    </row>
    <row r="42" spans="1:15" ht="19" x14ac:dyDescent="0.35">
      <c r="A42" s="470"/>
      <c r="B42" s="750"/>
      <c r="C42" s="750"/>
      <c r="D42" s="750"/>
      <c r="E42" s="750"/>
      <c r="F42" s="778"/>
      <c r="G42" s="779"/>
      <c r="H42" s="710"/>
      <c r="I42" s="711"/>
      <c r="J42" s="710"/>
      <c r="K42" s="711"/>
      <c r="L42" s="710"/>
      <c r="M42" s="711"/>
      <c r="N42" s="710"/>
      <c r="O42" s="711"/>
    </row>
    <row r="43" spans="1:15" ht="19" x14ac:dyDescent="0.45">
      <c r="A43" s="440"/>
      <c r="B43" s="775" t="s">
        <v>654</v>
      </c>
      <c r="C43" s="775"/>
      <c r="D43" s="775"/>
      <c r="E43" s="775"/>
      <c r="F43" s="751" t="s">
        <v>652</v>
      </c>
      <c r="G43" s="752"/>
      <c r="H43" s="751" t="s">
        <v>652</v>
      </c>
      <c r="I43" s="752"/>
      <c r="J43" s="751" t="s">
        <v>652</v>
      </c>
      <c r="K43" s="752"/>
      <c r="L43" s="751" t="s">
        <v>652</v>
      </c>
      <c r="M43" s="752"/>
      <c r="N43" s="751" t="s">
        <v>652</v>
      </c>
      <c r="O43" s="752"/>
    </row>
    <row r="44" spans="1:15" ht="19" x14ac:dyDescent="0.45">
      <c r="A44" s="440"/>
      <c r="B44" s="447"/>
      <c r="C44" s="447"/>
      <c r="D44" s="447"/>
      <c r="E44" s="447"/>
      <c r="F44" s="475"/>
      <c r="G44" s="475"/>
      <c r="H44" s="475"/>
      <c r="I44" s="475"/>
      <c r="J44" s="475"/>
      <c r="K44" s="475"/>
      <c r="L44" s="475"/>
      <c r="M44" s="475"/>
      <c r="N44" s="475"/>
      <c r="O44" s="475"/>
    </row>
    <row r="45" spans="1:15" ht="19" x14ac:dyDescent="0.45">
      <c r="A45" s="440"/>
      <c r="B45" s="447"/>
      <c r="C45" s="447"/>
      <c r="D45" s="447"/>
      <c r="E45" s="447"/>
      <c r="F45" s="475"/>
      <c r="G45" s="475"/>
      <c r="H45" s="475"/>
      <c r="I45" s="475"/>
      <c r="J45" s="475"/>
      <c r="K45" s="475"/>
      <c r="L45" s="475"/>
      <c r="M45" s="475"/>
      <c r="N45" s="475"/>
      <c r="O45" s="475"/>
    </row>
    <row r="46" spans="1:15" ht="19" x14ac:dyDescent="0.45">
      <c r="A46" s="470" t="s">
        <v>121</v>
      </c>
      <c r="B46" s="659" t="s">
        <v>122</v>
      </c>
      <c r="C46" s="659"/>
      <c r="D46" s="659"/>
      <c r="E46" s="659"/>
      <c r="F46" s="659"/>
      <c r="G46" s="659"/>
      <c r="H46" s="659"/>
      <c r="I46" s="659"/>
      <c r="J46" s="659"/>
      <c r="K46" s="659"/>
      <c r="L46" s="659"/>
      <c r="M46" s="659"/>
      <c r="N46" s="469"/>
      <c r="O46" s="469"/>
    </row>
    <row r="47" spans="1:15" ht="19" x14ac:dyDescent="0.45">
      <c r="A47" s="470"/>
      <c r="B47" s="431"/>
      <c r="C47" s="431"/>
      <c r="D47" s="431"/>
      <c r="E47" s="431"/>
      <c r="F47" s="431"/>
      <c r="G47" s="431"/>
      <c r="H47" s="431"/>
      <c r="I47" s="431"/>
      <c r="J47" s="431"/>
      <c r="K47" s="431"/>
      <c r="L47" s="431"/>
      <c r="M47" s="431"/>
      <c r="N47" s="469"/>
      <c r="O47" s="469"/>
    </row>
    <row r="48" spans="1:15" ht="18.75" customHeight="1" x14ac:dyDescent="0.35">
      <c r="A48" s="440"/>
      <c r="B48" s="715" t="s">
        <v>123</v>
      </c>
      <c r="C48" s="716"/>
      <c r="D48" s="716"/>
      <c r="E48" s="717"/>
      <c r="F48" s="698" t="s">
        <v>768</v>
      </c>
      <c r="G48" s="699"/>
      <c r="H48" s="699"/>
      <c r="I48" s="699"/>
      <c r="J48" s="700"/>
      <c r="K48" s="712" t="s">
        <v>459</v>
      </c>
      <c r="L48" s="712"/>
      <c r="M48" s="712"/>
      <c r="N48" s="712"/>
      <c r="O48" s="712"/>
    </row>
    <row r="49" spans="1:15" ht="18.75" customHeight="1" x14ac:dyDescent="0.35">
      <c r="A49" s="440"/>
      <c r="B49" s="725" t="s">
        <v>839</v>
      </c>
      <c r="C49" s="725"/>
      <c r="D49" s="725"/>
      <c r="E49" s="725"/>
      <c r="F49" s="728" t="s">
        <v>330</v>
      </c>
      <c r="G49" s="729"/>
      <c r="H49" s="728" t="s">
        <v>17</v>
      </c>
      <c r="I49" s="729"/>
      <c r="J49" s="701" t="s">
        <v>331</v>
      </c>
      <c r="K49" s="728" t="s">
        <v>330</v>
      </c>
      <c r="L49" s="729"/>
      <c r="M49" s="728" t="s">
        <v>17</v>
      </c>
      <c r="N49" s="729"/>
      <c r="O49" s="701" t="s">
        <v>331</v>
      </c>
    </row>
    <row r="50" spans="1:15" ht="21.75" customHeight="1" x14ac:dyDescent="0.35">
      <c r="A50" s="440"/>
      <c r="B50" s="725"/>
      <c r="C50" s="725"/>
      <c r="D50" s="725"/>
      <c r="E50" s="725"/>
      <c r="F50" s="730"/>
      <c r="G50" s="731"/>
      <c r="H50" s="730"/>
      <c r="I50" s="731"/>
      <c r="J50" s="702"/>
      <c r="K50" s="730"/>
      <c r="L50" s="731"/>
      <c r="M50" s="730"/>
      <c r="N50" s="731"/>
      <c r="O50" s="702"/>
    </row>
    <row r="51" spans="1:15" ht="18.75" customHeight="1" x14ac:dyDescent="0.35">
      <c r="A51" s="440"/>
      <c r="B51" s="724"/>
      <c r="C51" s="724"/>
      <c r="D51" s="724"/>
      <c r="E51" s="724"/>
      <c r="F51" s="684"/>
      <c r="G51" s="685"/>
      <c r="H51" s="694">
        <f>F51/9975360</f>
        <v>0</v>
      </c>
      <c r="I51" s="695"/>
      <c r="J51" s="718">
        <f>H51-M51</f>
        <v>0</v>
      </c>
      <c r="K51" s="684"/>
      <c r="L51" s="685"/>
      <c r="M51" s="694">
        <f>K51/166256</f>
        <v>0</v>
      </c>
      <c r="N51" s="695"/>
      <c r="O51" s="733">
        <v>0</v>
      </c>
    </row>
    <row r="52" spans="1:15" ht="8.25" customHeight="1" x14ac:dyDescent="0.35">
      <c r="A52" s="440"/>
      <c r="B52" s="724"/>
      <c r="C52" s="724"/>
      <c r="D52" s="724"/>
      <c r="E52" s="724"/>
      <c r="F52" s="686"/>
      <c r="G52" s="687"/>
      <c r="H52" s="696"/>
      <c r="I52" s="697"/>
      <c r="J52" s="719"/>
      <c r="K52" s="686"/>
      <c r="L52" s="687"/>
      <c r="M52" s="696"/>
      <c r="N52" s="697"/>
      <c r="O52" s="734"/>
    </row>
    <row r="53" spans="1:15" ht="19" x14ac:dyDescent="0.45">
      <c r="A53" s="469"/>
      <c r="B53" s="724"/>
      <c r="C53" s="724"/>
      <c r="D53" s="724"/>
      <c r="E53" s="724"/>
      <c r="F53" s="684"/>
      <c r="G53" s="685"/>
      <c r="H53" s="694">
        <f>F53/9975360</f>
        <v>0</v>
      </c>
      <c r="I53" s="695"/>
      <c r="J53" s="718">
        <f>H53-M53</f>
        <v>0</v>
      </c>
      <c r="K53" s="684"/>
      <c r="L53" s="685"/>
      <c r="M53" s="694">
        <f>K53/166256</f>
        <v>0</v>
      </c>
      <c r="N53" s="695"/>
      <c r="O53" s="733">
        <v>0</v>
      </c>
    </row>
    <row r="54" spans="1:15" ht="9.75" customHeight="1" x14ac:dyDescent="0.45">
      <c r="A54" s="469"/>
      <c r="B54" s="724"/>
      <c r="C54" s="724"/>
      <c r="D54" s="724"/>
      <c r="E54" s="724"/>
      <c r="F54" s="686"/>
      <c r="G54" s="687"/>
      <c r="H54" s="696"/>
      <c r="I54" s="697"/>
      <c r="J54" s="719"/>
      <c r="K54" s="686"/>
      <c r="L54" s="687"/>
      <c r="M54" s="696"/>
      <c r="N54" s="697"/>
      <c r="O54" s="734"/>
    </row>
    <row r="55" spans="1:15" ht="11.25" customHeight="1" x14ac:dyDescent="0.45">
      <c r="A55" s="469"/>
      <c r="B55" s="724"/>
      <c r="C55" s="724"/>
      <c r="D55" s="724"/>
      <c r="E55" s="724"/>
      <c r="F55" s="684"/>
      <c r="G55" s="685"/>
      <c r="H55" s="694">
        <f>F55/9975360</f>
        <v>0</v>
      </c>
      <c r="I55" s="695"/>
      <c r="J55" s="718">
        <f>H55-M55</f>
        <v>0</v>
      </c>
      <c r="K55" s="684"/>
      <c r="L55" s="685"/>
      <c r="M55" s="694">
        <v>0</v>
      </c>
      <c r="N55" s="695"/>
      <c r="O55" s="733">
        <v>0</v>
      </c>
    </row>
    <row r="56" spans="1:15" ht="11.25" customHeight="1" x14ac:dyDescent="0.45">
      <c r="A56" s="469"/>
      <c r="B56" s="724"/>
      <c r="C56" s="724"/>
      <c r="D56" s="724"/>
      <c r="E56" s="724"/>
      <c r="F56" s="686"/>
      <c r="G56" s="687"/>
      <c r="H56" s="696"/>
      <c r="I56" s="697"/>
      <c r="J56" s="719"/>
      <c r="K56" s="686"/>
      <c r="L56" s="687"/>
      <c r="M56" s="696">
        <v>0</v>
      </c>
      <c r="N56" s="697"/>
      <c r="O56" s="734">
        <v>0</v>
      </c>
    </row>
    <row r="57" spans="1:15" ht="19" x14ac:dyDescent="0.45">
      <c r="A57" s="469"/>
      <c r="B57" s="724"/>
      <c r="C57" s="724"/>
      <c r="D57" s="724"/>
      <c r="E57" s="724"/>
      <c r="F57" s="684"/>
      <c r="G57" s="685"/>
      <c r="H57" s="694">
        <f>F57/9975360</f>
        <v>0</v>
      </c>
      <c r="I57" s="695"/>
      <c r="J57" s="718">
        <f>H57-M57</f>
        <v>0</v>
      </c>
      <c r="K57" s="684"/>
      <c r="L57" s="685"/>
      <c r="M57" s="694">
        <f>K57/166256</f>
        <v>0</v>
      </c>
      <c r="N57" s="695"/>
      <c r="O57" s="733">
        <v>0</v>
      </c>
    </row>
    <row r="58" spans="1:15" ht="6" customHeight="1" x14ac:dyDescent="0.45">
      <c r="A58" s="469"/>
      <c r="B58" s="724"/>
      <c r="C58" s="724"/>
      <c r="D58" s="724"/>
      <c r="E58" s="724"/>
      <c r="F58" s="686"/>
      <c r="G58" s="687"/>
      <c r="H58" s="696"/>
      <c r="I58" s="697"/>
      <c r="J58" s="719"/>
      <c r="K58" s="686"/>
      <c r="L58" s="687"/>
      <c r="M58" s="696"/>
      <c r="N58" s="697"/>
      <c r="O58" s="734"/>
    </row>
    <row r="59" spans="1:15" ht="6" customHeight="1" x14ac:dyDescent="0.45">
      <c r="A59" s="469"/>
      <c r="B59" s="501"/>
      <c r="C59" s="501"/>
      <c r="D59" s="501"/>
      <c r="E59" s="501"/>
      <c r="F59" s="502"/>
      <c r="G59" s="502"/>
      <c r="H59" s="503"/>
      <c r="I59" s="503"/>
      <c r="J59" s="504"/>
      <c r="K59" s="502"/>
      <c r="L59" s="502"/>
      <c r="M59" s="503"/>
      <c r="N59" s="503"/>
      <c r="O59" s="505"/>
    </row>
    <row r="60" spans="1:15" ht="6" customHeight="1" x14ac:dyDescent="0.45">
      <c r="A60" s="469"/>
      <c r="B60" s="501"/>
      <c r="C60" s="501"/>
      <c r="D60" s="501"/>
      <c r="E60" s="501"/>
      <c r="F60" s="502"/>
      <c r="G60" s="502"/>
      <c r="H60" s="503"/>
      <c r="I60" s="503"/>
      <c r="J60" s="504"/>
      <c r="K60" s="502"/>
      <c r="L60" s="502"/>
      <c r="M60" s="503"/>
      <c r="N60" s="503"/>
      <c r="O60" s="505"/>
    </row>
    <row r="61" spans="1:15" ht="19" x14ac:dyDescent="0.45">
      <c r="A61" s="470" t="s">
        <v>802</v>
      </c>
      <c r="B61" s="659" t="s">
        <v>801</v>
      </c>
      <c r="C61" s="659"/>
      <c r="D61" s="659"/>
      <c r="E61" s="659"/>
      <c r="F61" s="659"/>
      <c r="G61" s="659"/>
      <c r="H61" s="659"/>
      <c r="I61" s="659"/>
      <c r="J61" s="659"/>
      <c r="K61" s="659"/>
      <c r="L61" s="659"/>
      <c r="M61" s="659"/>
      <c r="N61" s="469"/>
      <c r="O61" s="469"/>
    </row>
    <row r="62" spans="1:15" ht="19" x14ac:dyDescent="0.45">
      <c r="A62" s="470"/>
      <c r="B62" s="431"/>
      <c r="C62" s="431"/>
      <c r="D62" s="431"/>
      <c r="E62" s="431"/>
      <c r="F62" s="431"/>
      <c r="G62" s="431"/>
      <c r="H62" s="431"/>
      <c r="I62" s="431"/>
      <c r="J62" s="431"/>
      <c r="K62" s="431"/>
      <c r="L62" s="431"/>
      <c r="M62" s="431"/>
      <c r="N62" s="469"/>
      <c r="O62" s="469"/>
    </row>
    <row r="63" spans="1:15" ht="19" x14ac:dyDescent="0.35">
      <c r="A63" s="440"/>
      <c r="B63" s="715" t="s">
        <v>840</v>
      </c>
      <c r="C63" s="716"/>
      <c r="D63" s="716"/>
      <c r="E63" s="717"/>
      <c r="F63" s="698" t="s">
        <v>768</v>
      </c>
      <c r="G63" s="699"/>
      <c r="H63" s="699"/>
      <c r="I63" s="699"/>
      <c r="J63" s="700"/>
      <c r="K63" s="712" t="s">
        <v>459</v>
      </c>
      <c r="L63" s="712"/>
      <c r="M63" s="712"/>
      <c r="N63" s="712"/>
      <c r="O63" s="712"/>
    </row>
    <row r="64" spans="1:15" ht="19" x14ac:dyDescent="0.35">
      <c r="A64" s="440"/>
      <c r="B64" s="725" t="s">
        <v>332</v>
      </c>
      <c r="C64" s="725"/>
      <c r="D64" s="725"/>
      <c r="E64" s="725"/>
      <c r="F64" s="728" t="s">
        <v>330</v>
      </c>
      <c r="G64" s="729"/>
      <c r="H64" s="728" t="s">
        <v>17</v>
      </c>
      <c r="I64" s="729"/>
      <c r="J64" s="701" t="s">
        <v>331</v>
      </c>
      <c r="K64" s="728" t="s">
        <v>330</v>
      </c>
      <c r="L64" s="729"/>
      <c r="M64" s="728" t="s">
        <v>17</v>
      </c>
      <c r="N64" s="729"/>
      <c r="O64" s="701" t="s">
        <v>331</v>
      </c>
    </row>
    <row r="65" spans="1:15" ht="19" x14ac:dyDescent="0.35">
      <c r="A65" s="440"/>
      <c r="B65" s="725"/>
      <c r="C65" s="725"/>
      <c r="D65" s="725"/>
      <c r="E65" s="725"/>
      <c r="F65" s="730"/>
      <c r="G65" s="731"/>
      <c r="H65" s="730"/>
      <c r="I65" s="731"/>
      <c r="J65" s="702"/>
      <c r="K65" s="730"/>
      <c r="L65" s="731"/>
      <c r="M65" s="730"/>
      <c r="N65" s="731"/>
      <c r="O65" s="702"/>
    </row>
    <row r="66" spans="1:15" ht="19" x14ac:dyDescent="0.35">
      <c r="A66" s="440"/>
      <c r="B66" s="724"/>
      <c r="C66" s="724"/>
      <c r="D66" s="724"/>
      <c r="E66" s="724"/>
      <c r="F66" s="684"/>
      <c r="G66" s="685"/>
      <c r="H66" s="694">
        <f>F66/9975360</f>
        <v>0</v>
      </c>
      <c r="I66" s="695"/>
      <c r="J66" s="718">
        <f>H66-M66</f>
        <v>0</v>
      </c>
      <c r="K66" s="684"/>
      <c r="L66" s="685"/>
      <c r="M66" s="694"/>
      <c r="N66" s="695"/>
      <c r="O66" s="733">
        <v>0</v>
      </c>
    </row>
    <row r="67" spans="1:15" ht="19" x14ac:dyDescent="0.35">
      <c r="A67" s="440"/>
      <c r="B67" s="724"/>
      <c r="C67" s="724"/>
      <c r="D67" s="724"/>
      <c r="E67" s="724"/>
      <c r="F67" s="686"/>
      <c r="G67" s="687"/>
      <c r="H67" s="696"/>
      <c r="I67" s="697"/>
      <c r="J67" s="719"/>
      <c r="K67" s="686"/>
      <c r="L67" s="687"/>
      <c r="M67" s="696"/>
      <c r="N67" s="697"/>
      <c r="O67" s="734"/>
    </row>
    <row r="68" spans="1:15" ht="19" x14ac:dyDescent="0.45">
      <c r="A68" s="469"/>
      <c r="B68" s="724"/>
      <c r="C68" s="724"/>
      <c r="D68" s="724"/>
      <c r="E68" s="724"/>
      <c r="F68" s="684"/>
      <c r="G68" s="685"/>
      <c r="H68" s="694">
        <f>F68/9975360</f>
        <v>0</v>
      </c>
      <c r="I68" s="695"/>
      <c r="J68" s="718">
        <f>H68-M68</f>
        <v>0</v>
      </c>
      <c r="K68" s="684"/>
      <c r="L68" s="685"/>
      <c r="M68" s="694"/>
      <c r="N68" s="695"/>
      <c r="O68" s="733">
        <v>0</v>
      </c>
    </row>
    <row r="69" spans="1:15" ht="19" x14ac:dyDescent="0.45">
      <c r="A69" s="469"/>
      <c r="B69" s="724"/>
      <c r="C69" s="724"/>
      <c r="D69" s="724"/>
      <c r="E69" s="724"/>
      <c r="F69" s="686"/>
      <c r="G69" s="687"/>
      <c r="H69" s="696"/>
      <c r="I69" s="697"/>
      <c r="J69" s="719"/>
      <c r="K69" s="686"/>
      <c r="L69" s="687"/>
      <c r="M69" s="696"/>
      <c r="N69" s="697"/>
      <c r="O69" s="734"/>
    </row>
    <row r="70" spans="1:15" ht="19" x14ac:dyDescent="0.45">
      <c r="A70" s="469"/>
      <c r="B70" s="724"/>
      <c r="C70" s="724"/>
      <c r="D70" s="724"/>
      <c r="E70" s="724"/>
      <c r="F70" s="684"/>
      <c r="G70" s="685"/>
      <c r="H70" s="694">
        <f>F70/9975360</f>
        <v>0</v>
      </c>
      <c r="I70" s="695"/>
      <c r="J70" s="718">
        <f>H70-M70</f>
        <v>0</v>
      </c>
      <c r="K70" s="684"/>
      <c r="L70" s="685"/>
      <c r="M70" s="694"/>
      <c r="N70" s="695"/>
      <c r="O70" s="733">
        <v>0</v>
      </c>
    </row>
    <row r="71" spans="1:15" ht="19" x14ac:dyDescent="0.45">
      <c r="A71" s="469"/>
      <c r="B71" s="724"/>
      <c r="C71" s="724"/>
      <c r="D71" s="724"/>
      <c r="E71" s="724"/>
      <c r="F71" s="686"/>
      <c r="G71" s="687"/>
      <c r="H71" s="696"/>
      <c r="I71" s="697"/>
      <c r="J71" s="719"/>
      <c r="K71" s="686"/>
      <c r="L71" s="687"/>
      <c r="M71" s="696"/>
      <c r="N71" s="697"/>
      <c r="O71" s="734">
        <v>0</v>
      </c>
    </row>
    <row r="72" spans="1:15" ht="18" customHeight="1" x14ac:dyDescent="0.45">
      <c r="A72" s="469"/>
      <c r="B72" s="724"/>
      <c r="C72" s="724"/>
      <c r="D72" s="724"/>
      <c r="E72" s="724"/>
      <c r="F72" s="684"/>
      <c r="G72" s="685"/>
      <c r="H72" s="694">
        <f>F72/9975360</f>
        <v>0</v>
      </c>
      <c r="I72" s="695"/>
      <c r="J72" s="718">
        <f>H72-M72</f>
        <v>0</v>
      </c>
      <c r="K72" s="684"/>
      <c r="L72" s="685"/>
      <c r="M72" s="694"/>
      <c r="N72" s="695"/>
      <c r="O72" s="733">
        <v>0</v>
      </c>
    </row>
    <row r="73" spans="1:15" ht="19" x14ac:dyDescent="0.45">
      <c r="A73" s="469"/>
      <c r="B73" s="724"/>
      <c r="C73" s="724"/>
      <c r="D73" s="724"/>
      <c r="E73" s="724"/>
      <c r="F73" s="686"/>
      <c r="G73" s="687"/>
      <c r="H73" s="696"/>
      <c r="I73" s="697"/>
      <c r="J73" s="719"/>
      <c r="K73" s="686"/>
      <c r="L73" s="687"/>
      <c r="M73" s="696"/>
      <c r="N73" s="697"/>
      <c r="O73" s="734"/>
    </row>
  </sheetData>
  <mergeCells count="178">
    <mergeCell ref="J70:J71"/>
    <mergeCell ref="K70:L71"/>
    <mergeCell ref="M70:N71"/>
    <mergeCell ref="O70:O71"/>
    <mergeCell ref="B72:E73"/>
    <mergeCell ref="F72:G73"/>
    <mergeCell ref="H72:I73"/>
    <mergeCell ref="J72:J73"/>
    <mergeCell ref="K72:L73"/>
    <mergeCell ref="M72:N73"/>
    <mergeCell ref="O72:O73"/>
    <mergeCell ref="B70:E71"/>
    <mergeCell ref="F70:G71"/>
    <mergeCell ref="H70:I71"/>
    <mergeCell ref="B66:E67"/>
    <mergeCell ref="F66:G67"/>
    <mergeCell ref="H66:I67"/>
    <mergeCell ref="J66:J67"/>
    <mergeCell ref="K66:L67"/>
    <mergeCell ref="M66:N67"/>
    <mergeCell ref="O66:O67"/>
    <mergeCell ref="B68:E69"/>
    <mergeCell ref="F68:G69"/>
    <mergeCell ref="H68:I69"/>
    <mergeCell ref="J68:J69"/>
    <mergeCell ref="K68:L69"/>
    <mergeCell ref="M68:N69"/>
    <mergeCell ref="O68:O69"/>
    <mergeCell ref="B61:M61"/>
    <mergeCell ref="B63:E63"/>
    <mergeCell ref="F63:J63"/>
    <mergeCell ref="K63:O63"/>
    <mergeCell ref="B64:E65"/>
    <mergeCell ref="F64:G65"/>
    <mergeCell ref="H64:I65"/>
    <mergeCell ref="J64:J65"/>
    <mergeCell ref="K64:L65"/>
    <mergeCell ref="M64:N65"/>
    <mergeCell ref="O64:O65"/>
    <mergeCell ref="B55:E56"/>
    <mergeCell ref="O55:O56"/>
    <mergeCell ref="M55:N56"/>
    <mergeCell ref="K55:L56"/>
    <mergeCell ref="J55:J56"/>
    <mergeCell ref="H55:I56"/>
    <mergeCell ref="F55:G56"/>
    <mergeCell ref="L43:M43"/>
    <mergeCell ref="N36:O36"/>
    <mergeCell ref="N37:O37"/>
    <mergeCell ref="N38:O38"/>
    <mergeCell ref="N39:O40"/>
    <mergeCell ref="N41:O42"/>
    <mergeCell ref="N43:O43"/>
    <mergeCell ref="L36:M36"/>
    <mergeCell ref="L37:M37"/>
    <mergeCell ref="L38:M38"/>
    <mergeCell ref="L39:M40"/>
    <mergeCell ref="L41:M42"/>
    <mergeCell ref="B43:E43"/>
    <mergeCell ref="F41:G42"/>
    <mergeCell ref="F43:G43"/>
    <mergeCell ref="J51:J52"/>
    <mergeCell ref="J36:K36"/>
    <mergeCell ref="B12:E12"/>
    <mergeCell ref="B5:G5"/>
    <mergeCell ref="F12:G12"/>
    <mergeCell ref="B7:E8"/>
    <mergeCell ref="B9:E9"/>
    <mergeCell ref="B10:E10"/>
    <mergeCell ref="B11:E11"/>
    <mergeCell ref="F7:I7"/>
    <mergeCell ref="F8:G8"/>
    <mergeCell ref="F9:G9"/>
    <mergeCell ref="F10:G10"/>
    <mergeCell ref="H8:I8"/>
    <mergeCell ref="H9:I9"/>
    <mergeCell ref="F21:G21"/>
    <mergeCell ref="H21:I21"/>
    <mergeCell ref="J21:K21"/>
    <mergeCell ref="L21:M21"/>
    <mergeCell ref="L23:M23"/>
    <mergeCell ref="F20:G20"/>
    <mergeCell ref="B13:E13"/>
    <mergeCell ref="B18:E19"/>
    <mergeCell ref="B21:E21"/>
    <mergeCell ref="B20:E20"/>
    <mergeCell ref="F22:G22"/>
    <mergeCell ref="H22:I22"/>
    <mergeCell ref="F19:G19"/>
    <mergeCell ref="H19:I19"/>
    <mergeCell ref="J39:K40"/>
    <mergeCell ref="J41:K42"/>
    <mergeCell ref="J43:K43"/>
    <mergeCell ref="H39:I40"/>
    <mergeCell ref="H41:I42"/>
    <mergeCell ref="K57:L58"/>
    <mergeCell ref="M57:N58"/>
    <mergeCell ref="J23:K23"/>
    <mergeCell ref="J19:K19"/>
    <mergeCell ref="L19:M19"/>
    <mergeCell ref="J20:K20"/>
    <mergeCell ref="L20:M20"/>
    <mergeCell ref="H43:I43"/>
    <mergeCell ref="H36:I36"/>
    <mergeCell ref="H37:I37"/>
    <mergeCell ref="H38:I38"/>
    <mergeCell ref="J7:M7"/>
    <mergeCell ref="J8:K8"/>
    <mergeCell ref="L8:M8"/>
    <mergeCell ref="J9:K9"/>
    <mergeCell ref="L9:M9"/>
    <mergeCell ref="O51:O52"/>
    <mergeCell ref="H23:I23"/>
    <mergeCell ref="B15:L15"/>
    <mergeCell ref="J11:K11"/>
    <mergeCell ref="L11:M11"/>
    <mergeCell ref="J12:K12"/>
    <mergeCell ref="L12:M12"/>
    <mergeCell ref="F11:G11"/>
    <mergeCell ref="H11:I11"/>
    <mergeCell ref="H12:I12"/>
    <mergeCell ref="J10:K10"/>
    <mergeCell ref="L10:M10"/>
    <mergeCell ref="H10:I10"/>
    <mergeCell ref="B36:E37"/>
    <mergeCell ref="B38:E38"/>
    <mergeCell ref="B39:E40"/>
    <mergeCell ref="B41:E42"/>
    <mergeCell ref="K49:L50"/>
    <mergeCell ref="M49:N50"/>
    <mergeCell ref="B48:E48"/>
    <mergeCell ref="J53:J54"/>
    <mergeCell ref="J57:J58"/>
    <mergeCell ref="B22:E22"/>
    <mergeCell ref="B23:E23"/>
    <mergeCell ref="B51:E52"/>
    <mergeCell ref="B49:E50"/>
    <mergeCell ref="B46:M46"/>
    <mergeCell ref="B26:G26"/>
    <mergeCell ref="B28:O30"/>
    <mergeCell ref="B32:O33"/>
    <mergeCell ref="H51:I52"/>
    <mergeCell ref="F49:G50"/>
    <mergeCell ref="H49:I50"/>
    <mergeCell ref="O49:O50"/>
    <mergeCell ref="J22:K22"/>
    <mergeCell ref="L22:M22"/>
    <mergeCell ref="B24:E24"/>
    <mergeCell ref="B53:E54"/>
    <mergeCell ref="B57:E58"/>
    <mergeCell ref="O53:O54"/>
    <mergeCell ref="O57:O58"/>
    <mergeCell ref="F57:G58"/>
    <mergeCell ref="H57:I58"/>
    <mergeCell ref="F53:G54"/>
    <mergeCell ref="H20:I20"/>
    <mergeCell ref="J13:K13"/>
    <mergeCell ref="L13:M13"/>
    <mergeCell ref="F18:I18"/>
    <mergeCell ref="J18:M18"/>
    <mergeCell ref="F13:G13"/>
    <mergeCell ref="H13:I13"/>
    <mergeCell ref="H53:I54"/>
    <mergeCell ref="F51:G52"/>
    <mergeCell ref="F48:J48"/>
    <mergeCell ref="J49:J50"/>
    <mergeCell ref="F36:G36"/>
    <mergeCell ref="F37:G37"/>
    <mergeCell ref="F38:G38"/>
    <mergeCell ref="F39:G40"/>
    <mergeCell ref="F23:G23"/>
    <mergeCell ref="K48:O48"/>
    <mergeCell ref="K51:L52"/>
    <mergeCell ref="M51:N52"/>
    <mergeCell ref="K53:L54"/>
    <mergeCell ref="M53:N54"/>
    <mergeCell ref="J37:K37"/>
    <mergeCell ref="J38:K38"/>
  </mergeCells>
  <pageMargins left="0.23622047244094491" right="0.23622047244094491" top="0.47244094488188981" bottom="0.74803149606299213" header="0.31496062992125984" footer="0.31496062992125984"/>
  <pageSetup scale="53" orientation="portrait" r:id="rId1"/>
  <ignoredErrors>
    <ignoredError sqref="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2:L121"/>
  <sheetViews>
    <sheetView showGridLines="0" view="pageBreakPreview" zoomScale="70" zoomScaleNormal="70" zoomScaleSheetLayoutView="70" workbookViewId="0">
      <selection activeCell="E110" sqref="E110"/>
    </sheetView>
  </sheetViews>
  <sheetFormatPr defaultColWidth="8.81640625" defaultRowHeight="12.5" x14ac:dyDescent="0.25"/>
  <cols>
    <col min="1" max="1" width="11.453125" style="95" bestFit="1" customWidth="1"/>
    <col min="2" max="2" width="54.54296875" style="95" bestFit="1" customWidth="1"/>
    <col min="3" max="3" width="31.81640625" style="95" customWidth="1"/>
    <col min="4" max="4" width="24.81640625" style="95" customWidth="1"/>
    <col min="5" max="5" width="26.26953125" style="95" customWidth="1"/>
    <col min="6" max="6" width="24.54296875" style="95" customWidth="1"/>
    <col min="7" max="7" width="18.7265625" style="95" customWidth="1"/>
    <col min="8" max="8" width="9.26953125" style="95" customWidth="1"/>
    <col min="9" max="9" width="8.81640625" style="95"/>
    <col min="10" max="10" width="20.26953125" style="95" bestFit="1" customWidth="1"/>
    <col min="11" max="11" width="10.7265625" style="95" bestFit="1" customWidth="1"/>
    <col min="12" max="12" width="26.26953125" style="95" bestFit="1" customWidth="1"/>
    <col min="13" max="16384" width="8.81640625" style="95"/>
  </cols>
  <sheetData>
    <row r="2" spans="1:12" ht="20" x14ac:dyDescent="0.4">
      <c r="A2" s="807" t="str">
        <f>'Note 3 (Share Capital)'!A2</f>
        <v>ABC INDIA LIMITED</v>
      </c>
      <c r="B2" s="807"/>
      <c r="C2" s="807"/>
      <c r="D2" s="807"/>
      <c r="E2" s="807"/>
      <c r="F2" s="807"/>
      <c r="G2" s="807"/>
      <c r="H2" s="807"/>
    </row>
    <row r="3" spans="1:12" ht="19.5" thickBot="1" x14ac:dyDescent="0.5">
      <c r="A3" s="808" t="s">
        <v>808</v>
      </c>
      <c r="B3" s="808"/>
      <c r="C3" s="808"/>
      <c r="D3" s="808"/>
      <c r="E3" s="808"/>
      <c r="F3" s="808"/>
      <c r="G3" s="808"/>
      <c r="H3" s="808"/>
    </row>
    <row r="4" spans="1:12" ht="19.5" thickTop="1" x14ac:dyDescent="0.45">
      <c r="A4" s="289"/>
      <c r="B4" s="289"/>
      <c r="C4" s="289"/>
      <c r="D4" s="289"/>
      <c r="E4" s="289"/>
      <c r="F4" s="289"/>
      <c r="G4" s="289"/>
      <c r="H4" s="289"/>
    </row>
    <row r="5" spans="1:12" ht="19" x14ac:dyDescent="0.45">
      <c r="A5" s="94" t="s">
        <v>215</v>
      </c>
      <c r="B5" s="392" t="s">
        <v>130</v>
      </c>
      <c r="C5" s="290"/>
      <c r="D5" s="290"/>
      <c r="E5" s="290"/>
      <c r="F5" s="170"/>
    </row>
    <row r="6" spans="1:12" ht="19" x14ac:dyDescent="0.45">
      <c r="A6" s="290"/>
      <c r="B6" s="290"/>
      <c r="C6" s="290"/>
      <c r="D6" s="290"/>
      <c r="E6" s="290"/>
      <c r="F6" s="290"/>
    </row>
    <row r="7" spans="1:12" ht="19" x14ac:dyDescent="0.45">
      <c r="A7" s="290"/>
      <c r="B7" s="640" t="s">
        <v>37</v>
      </c>
      <c r="C7" s="641"/>
      <c r="D7" s="642"/>
      <c r="E7" s="614" t="str">
        <f>'BS PnL'!F8</f>
        <v>As at March 31, 2025</v>
      </c>
      <c r="F7" s="614" t="str">
        <f>'BS PnL'!G8</f>
        <v>As at March 31, 2024</v>
      </c>
    </row>
    <row r="8" spans="1:12" ht="19" x14ac:dyDescent="0.45">
      <c r="A8" s="290"/>
      <c r="B8" s="643"/>
      <c r="C8" s="644"/>
      <c r="D8" s="645"/>
      <c r="E8" s="615"/>
      <c r="F8" s="615"/>
    </row>
    <row r="9" spans="1:12" ht="19" x14ac:dyDescent="0.45">
      <c r="A9" s="291"/>
      <c r="B9" s="781" t="s">
        <v>124</v>
      </c>
      <c r="C9" s="782"/>
      <c r="D9" s="782"/>
      <c r="E9" s="292"/>
      <c r="F9" s="113"/>
    </row>
    <row r="10" spans="1:12" ht="20.5" x14ac:dyDescent="0.45">
      <c r="A10" s="290"/>
      <c r="B10" s="783" t="s">
        <v>125</v>
      </c>
      <c r="C10" s="784"/>
      <c r="D10" s="784"/>
      <c r="E10" s="113">
        <f>F14</f>
        <v>138996631.89834064</v>
      </c>
      <c r="F10" s="107">
        <v>80457755.899999961</v>
      </c>
      <c r="L10" s="293"/>
    </row>
    <row r="11" spans="1:12" ht="20.5" x14ac:dyDescent="0.45">
      <c r="A11" s="290"/>
      <c r="B11" s="783" t="s">
        <v>126</v>
      </c>
      <c r="C11" s="784"/>
      <c r="D11" s="784"/>
      <c r="E11" s="113">
        <f>'BS PnL'!F109</f>
        <v>61436984.756764345</v>
      </c>
      <c r="F11" s="113">
        <v>58538616.998340681</v>
      </c>
      <c r="L11" s="293"/>
    </row>
    <row r="12" spans="1:12" ht="20.5" x14ac:dyDescent="0.45">
      <c r="A12" s="290"/>
      <c r="B12" s="783" t="s">
        <v>841</v>
      </c>
      <c r="C12" s="784"/>
      <c r="D12" s="784"/>
      <c r="E12" s="113">
        <v>83128000</v>
      </c>
      <c r="F12" s="476">
        <v>0</v>
      </c>
      <c r="L12" s="293"/>
    </row>
    <row r="13" spans="1:12" ht="23.5" x14ac:dyDescent="0.75">
      <c r="A13" s="290"/>
      <c r="B13" s="294" t="s">
        <v>127</v>
      </c>
      <c r="C13" s="780"/>
      <c r="D13" s="780"/>
      <c r="E13" s="295">
        <v>0</v>
      </c>
      <c r="F13" s="477">
        <v>259</v>
      </c>
      <c r="L13" s="293"/>
    </row>
    <row r="14" spans="1:12" ht="23.5" x14ac:dyDescent="0.75">
      <c r="A14" s="290"/>
      <c r="B14" s="294"/>
      <c r="C14" s="379"/>
      <c r="D14" s="379"/>
      <c r="E14" s="605">
        <f>E10+E11-E12</f>
        <v>117305616.65510499</v>
      </c>
      <c r="F14" s="606">
        <f>SUM(F10:F13)</f>
        <v>138996631.89834064</v>
      </c>
      <c r="L14" s="293"/>
    </row>
    <row r="15" spans="1:12" ht="20.5" x14ac:dyDescent="0.45">
      <c r="A15" s="290"/>
      <c r="B15" s="783" t="s">
        <v>128</v>
      </c>
      <c r="C15" s="784"/>
      <c r="D15" s="784"/>
      <c r="E15" s="88">
        <f>'[1]Branch Wise 30.09.2024'!$U$145</f>
        <v>3314240</v>
      </c>
      <c r="F15" s="107">
        <v>3314240</v>
      </c>
      <c r="L15" s="293"/>
    </row>
    <row r="16" spans="1:12" ht="21" thickBot="1" x14ac:dyDescent="0.5">
      <c r="A16" s="290"/>
      <c r="B16" s="790" t="s">
        <v>38</v>
      </c>
      <c r="C16" s="790"/>
      <c r="D16" s="790"/>
      <c r="E16" s="164">
        <f>E10+E11-E12+E15</f>
        <v>120619856.65510499</v>
      </c>
      <c r="F16" s="164">
        <f>F14+F15</f>
        <v>142310871.89834064</v>
      </c>
      <c r="L16" s="293"/>
    </row>
    <row r="17" spans="1:7" ht="24" thickTop="1" x14ac:dyDescent="0.75">
      <c r="A17" s="290"/>
      <c r="B17" s="602"/>
      <c r="C17" s="379"/>
      <c r="D17" s="379"/>
      <c r="E17" s="603"/>
      <c r="F17" s="604"/>
      <c r="G17" s="293"/>
    </row>
    <row r="18" spans="1:7" ht="20.5" x14ac:dyDescent="0.45">
      <c r="A18" s="94" t="s">
        <v>226</v>
      </c>
      <c r="B18" s="392" t="s">
        <v>18</v>
      </c>
      <c r="C18" s="379"/>
      <c r="D18" s="379"/>
      <c r="E18" s="94"/>
      <c r="F18" s="94"/>
      <c r="G18" s="293"/>
    </row>
    <row r="19" spans="1:7" ht="19" x14ac:dyDescent="0.45">
      <c r="A19" s="94"/>
      <c r="B19" s="392"/>
      <c r="C19" s="379"/>
      <c r="D19" s="379"/>
      <c r="E19" s="94"/>
      <c r="F19" s="94"/>
    </row>
    <row r="20" spans="1:7" ht="19" x14ac:dyDescent="0.45">
      <c r="A20" s="94"/>
      <c r="B20" s="640" t="s">
        <v>37</v>
      </c>
      <c r="C20" s="641"/>
      <c r="D20" s="642"/>
      <c r="E20" s="614" t="str">
        <f>E7</f>
        <v>As at March 31, 2025</v>
      </c>
      <c r="F20" s="614" t="str">
        <f>F7</f>
        <v>As at March 31, 2024</v>
      </c>
    </row>
    <row r="21" spans="1:7" ht="19" x14ac:dyDescent="0.45">
      <c r="A21" s="94"/>
      <c r="B21" s="643"/>
      <c r="C21" s="644"/>
      <c r="D21" s="645"/>
      <c r="E21" s="615"/>
      <c r="F21" s="615"/>
    </row>
    <row r="22" spans="1:7" ht="19" x14ac:dyDescent="0.45">
      <c r="A22" s="94"/>
      <c r="B22" s="800" t="s">
        <v>19</v>
      </c>
      <c r="C22" s="801"/>
      <c r="D22" s="801"/>
      <c r="E22" s="374"/>
      <c r="F22" s="375"/>
    </row>
    <row r="23" spans="1:7" ht="19" x14ac:dyDescent="0.45">
      <c r="A23" s="94"/>
      <c r="B23" s="378" t="s">
        <v>129</v>
      </c>
      <c r="C23" s="271"/>
      <c r="D23" s="271"/>
      <c r="E23" s="166"/>
      <c r="F23" s="113"/>
    </row>
    <row r="24" spans="1:7" ht="19" x14ac:dyDescent="0.45">
      <c r="A24" s="94"/>
      <c r="B24" s="272" t="s">
        <v>658</v>
      </c>
      <c r="C24" s="271"/>
      <c r="D24" s="271"/>
      <c r="E24" s="110">
        <f>Borrowing!E10</f>
        <v>0</v>
      </c>
      <c r="F24" s="110">
        <v>119575580</v>
      </c>
    </row>
    <row r="25" spans="1:7" ht="19" x14ac:dyDescent="0.45">
      <c r="A25" s="94"/>
      <c r="B25" s="198"/>
      <c r="C25" s="271"/>
      <c r="D25" s="271"/>
      <c r="E25" s="133"/>
      <c r="F25" s="133"/>
    </row>
    <row r="26" spans="1:7" ht="19" x14ac:dyDescent="0.45">
      <c r="A26" s="94"/>
      <c r="B26" s="273" t="s">
        <v>20</v>
      </c>
      <c r="C26" s="379"/>
      <c r="D26" s="379"/>
      <c r="E26" s="134"/>
      <c r="F26" s="134"/>
    </row>
    <row r="27" spans="1:7" ht="19" x14ac:dyDescent="0.45">
      <c r="A27" s="94"/>
      <c r="B27" s="378" t="s">
        <v>129</v>
      </c>
      <c r="C27" s="379"/>
      <c r="D27" s="379"/>
      <c r="E27" s="135"/>
      <c r="F27" s="110"/>
    </row>
    <row r="28" spans="1:7" ht="19" x14ac:dyDescent="0.45">
      <c r="A28" s="94"/>
      <c r="B28" s="272" t="s">
        <v>284</v>
      </c>
      <c r="C28" s="379"/>
      <c r="D28" s="379"/>
      <c r="E28" s="110">
        <f>Borrowing!E14</f>
        <v>0</v>
      </c>
      <c r="F28" s="110">
        <v>9652174.0399999991</v>
      </c>
    </row>
    <row r="29" spans="1:7" ht="19" x14ac:dyDescent="0.45">
      <c r="A29" s="94"/>
      <c r="B29" s="272" t="s">
        <v>439</v>
      </c>
      <c r="C29" s="379"/>
      <c r="D29" s="379"/>
      <c r="E29" s="136">
        <f>Borrowing!E18</f>
        <v>0</v>
      </c>
      <c r="F29" s="108">
        <v>4054404.9599999972</v>
      </c>
    </row>
    <row r="30" spans="1:7" ht="19.5" thickBot="1" x14ac:dyDescent="0.5">
      <c r="A30" s="94"/>
      <c r="B30" s="785" t="s">
        <v>32</v>
      </c>
      <c r="C30" s="786"/>
      <c r="D30" s="787"/>
      <c r="E30" s="114">
        <f>SUM(E24:E29)</f>
        <v>0</v>
      </c>
      <c r="F30" s="114">
        <f>SUM(F23:F29)</f>
        <v>133282158.99999999</v>
      </c>
    </row>
    <row r="31" spans="1:7" ht="19.5" thickTop="1" x14ac:dyDescent="0.45">
      <c r="A31" s="94"/>
      <c r="B31" s="131" t="s">
        <v>843</v>
      </c>
      <c r="C31" s="94"/>
      <c r="D31" s="94"/>
      <c r="E31" s="129"/>
      <c r="F31" s="129"/>
    </row>
    <row r="32" spans="1:7" ht="19" x14ac:dyDescent="0.45">
      <c r="A32" s="94"/>
      <c r="B32" s="94"/>
      <c r="C32" s="94"/>
      <c r="D32" s="94"/>
      <c r="E32" s="129"/>
      <c r="F32" s="129"/>
    </row>
    <row r="33" spans="1:6" ht="19" x14ac:dyDescent="0.45">
      <c r="A33" s="94" t="s">
        <v>227</v>
      </c>
      <c r="B33" s="392" t="s">
        <v>477</v>
      </c>
      <c r="C33" s="300"/>
      <c r="D33" s="300"/>
      <c r="E33" s="300"/>
      <c r="F33" s="129"/>
    </row>
    <row r="34" spans="1:6" ht="19" x14ac:dyDescent="0.45">
      <c r="A34" s="301"/>
      <c r="B34" s="302"/>
      <c r="C34" s="302"/>
      <c r="D34" s="302"/>
      <c r="E34" s="302"/>
      <c r="F34" s="129"/>
    </row>
    <row r="35" spans="1:6" ht="38" x14ac:dyDescent="0.45">
      <c r="A35" s="301"/>
      <c r="B35" s="796" t="s">
        <v>37</v>
      </c>
      <c r="C35" s="796"/>
      <c r="D35" s="174" t="s">
        <v>459</v>
      </c>
      <c r="E35" s="191" t="s">
        <v>361</v>
      </c>
      <c r="F35" s="174" t="s">
        <v>768</v>
      </c>
    </row>
    <row r="36" spans="1:6" ht="19" x14ac:dyDescent="0.25">
      <c r="A36" s="301"/>
      <c r="B36" s="303" t="s">
        <v>475</v>
      </c>
      <c r="C36" s="304"/>
      <c r="D36" s="305">
        <f>F41</f>
        <v>8026728.3506992003</v>
      </c>
      <c r="E36" s="305">
        <v>224000.14564838633</v>
      </c>
      <c r="F36" s="305">
        <f>D36+E36</f>
        <v>8250728.4963475866</v>
      </c>
    </row>
    <row r="37" spans="1:6" ht="19" x14ac:dyDescent="0.25">
      <c r="A37" s="301"/>
      <c r="B37" s="792" t="s">
        <v>476</v>
      </c>
      <c r="C37" s="793"/>
      <c r="D37" s="305">
        <f>F42</f>
        <v>-354127.09904</v>
      </c>
      <c r="E37" s="305">
        <v>690523.74640000006</v>
      </c>
      <c r="F37" s="305">
        <f>D37+E37</f>
        <v>336396.64736000006</v>
      </c>
    </row>
    <row r="38" spans="1:6" ht="19" x14ac:dyDescent="0.25">
      <c r="A38" s="301"/>
      <c r="B38" s="791" t="s">
        <v>362</v>
      </c>
      <c r="C38" s="791"/>
      <c r="D38" s="391">
        <f>SUM(D36:D37)</f>
        <v>7672601.2516592005</v>
      </c>
      <c r="E38" s="391">
        <f>SUM(E36:E37)</f>
        <v>914523.89204838639</v>
      </c>
      <c r="F38" s="391">
        <f>SUM(F36:F37)</f>
        <v>8587125.1437075865</v>
      </c>
    </row>
    <row r="39" spans="1:6" ht="19" x14ac:dyDescent="0.25">
      <c r="A39" s="301"/>
      <c r="B39" s="306"/>
      <c r="D39" s="229"/>
      <c r="E39" s="229"/>
      <c r="F39" s="229"/>
    </row>
    <row r="40" spans="1:6" ht="38" x14ac:dyDescent="0.45">
      <c r="A40" s="301"/>
      <c r="B40" s="753" t="s">
        <v>37</v>
      </c>
      <c r="C40" s="754"/>
      <c r="D40" s="174" t="s">
        <v>433</v>
      </c>
      <c r="E40" s="191" t="s">
        <v>361</v>
      </c>
      <c r="F40" s="174" t="s">
        <v>459</v>
      </c>
    </row>
    <row r="41" spans="1:6" ht="19" x14ac:dyDescent="0.25">
      <c r="A41" s="301"/>
      <c r="B41" s="792" t="s">
        <v>475</v>
      </c>
      <c r="C41" s="793"/>
      <c r="D41" s="137">
        <v>6112077</v>
      </c>
      <c r="E41" s="137">
        <v>1914651.3506992003</v>
      </c>
      <c r="F41" s="305">
        <f>D41+E41</f>
        <v>8026728.3506992003</v>
      </c>
    </row>
    <row r="42" spans="1:6" ht="19" x14ac:dyDescent="0.45">
      <c r="A42" s="94"/>
      <c r="B42" s="792" t="s">
        <v>476</v>
      </c>
      <c r="C42" s="793"/>
      <c r="D42" s="137">
        <v>0</v>
      </c>
      <c r="E42" s="137">
        <v>-354127.09904</v>
      </c>
      <c r="F42" s="305">
        <f>D42+E42</f>
        <v>-354127.09904</v>
      </c>
    </row>
    <row r="43" spans="1:6" ht="19" x14ac:dyDescent="0.45">
      <c r="A43" s="94"/>
      <c r="B43" s="794" t="s">
        <v>362</v>
      </c>
      <c r="C43" s="795"/>
      <c r="D43" s="391">
        <f>SUM(D41:D42)</f>
        <v>6112077</v>
      </c>
      <c r="E43" s="391">
        <f>SUM(E41:E42)</f>
        <v>1560524.2516592003</v>
      </c>
      <c r="F43" s="391">
        <f>SUM(F41:F42)</f>
        <v>7672601.2516592005</v>
      </c>
    </row>
    <row r="44" spans="1:6" ht="19" x14ac:dyDescent="0.45">
      <c r="A44" s="94"/>
      <c r="B44" s="94"/>
      <c r="C44" s="94"/>
      <c r="D44" s="94"/>
      <c r="E44" s="129"/>
      <c r="F44" s="129"/>
    </row>
    <row r="45" spans="1:6" ht="19" hidden="1" x14ac:dyDescent="0.45">
      <c r="A45" s="94" t="s">
        <v>228</v>
      </c>
      <c r="B45" s="392" t="s">
        <v>150</v>
      </c>
      <c r="C45" s="94"/>
      <c r="D45" s="379"/>
      <c r="E45" s="94"/>
      <c r="F45" s="94"/>
    </row>
    <row r="46" spans="1:6" ht="19" hidden="1" x14ac:dyDescent="0.45">
      <c r="A46" s="94"/>
      <c r="B46" s="392"/>
      <c r="C46" s="94"/>
      <c r="D46" s="379"/>
      <c r="E46" s="94"/>
      <c r="F46" s="165"/>
    </row>
    <row r="47" spans="1:6" ht="38" hidden="1" x14ac:dyDescent="0.45">
      <c r="A47" s="94"/>
      <c r="B47" s="753" t="s">
        <v>37</v>
      </c>
      <c r="C47" s="762"/>
      <c r="D47" s="754"/>
      <c r="E47" s="384" t="str">
        <f>+E20</f>
        <v>As at March 31, 2025</v>
      </c>
      <c r="F47" s="384" t="str">
        <f>+F20</f>
        <v>As at March 31, 2024</v>
      </c>
    </row>
    <row r="48" spans="1:6" ht="19" hidden="1" x14ac:dyDescent="0.45">
      <c r="A48" s="94"/>
    </row>
    <row r="49" spans="1:6" ht="19.5" hidden="1" thickBot="1" x14ac:dyDescent="0.5">
      <c r="A49" s="94"/>
      <c r="B49" s="785" t="s">
        <v>32</v>
      </c>
      <c r="C49" s="786"/>
      <c r="D49" s="787"/>
      <c r="E49" s="138">
        <f>SUM(E48)</f>
        <v>0</v>
      </c>
      <c r="F49" s="138">
        <f t="shared" ref="F49" si="0">SUM(F48)</f>
        <v>0</v>
      </c>
    </row>
    <row r="50" spans="1:6" ht="19" hidden="1" x14ac:dyDescent="0.45">
      <c r="A50" s="94"/>
      <c r="B50" s="111"/>
      <c r="C50" s="111"/>
      <c r="D50" s="111"/>
      <c r="E50" s="111"/>
      <c r="F50" s="111"/>
    </row>
    <row r="51" spans="1:6" ht="19" x14ac:dyDescent="0.45">
      <c r="A51" s="94" t="s">
        <v>228</v>
      </c>
      <c r="B51" s="392" t="s">
        <v>471</v>
      </c>
      <c r="C51" s="94"/>
      <c r="D51" s="379"/>
      <c r="E51" s="94"/>
      <c r="F51" s="94"/>
    </row>
    <row r="52" spans="1:6" ht="19" x14ac:dyDescent="0.45">
      <c r="A52" s="94"/>
      <c r="B52" s="392"/>
      <c r="C52" s="94"/>
      <c r="D52" s="379"/>
      <c r="E52" s="94"/>
      <c r="F52" s="165"/>
    </row>
    <row r="53" spans="1:6" ht="38" x14ac:dyDescent="0.45">
      <c r="A53" s="94"/>
      <c r="B53" s="753" t="s">
        <v>37</v>
      </c>
      <c r="C53" s="762"/>
      <c r="D53" s="754"/>
      <c r="E53" s="384" t="str">
        <f>+E47</f>
        <v>As at March 31, 2025</v>
      </c>
      <c r="F53" s="384" t="str">
        <f>+F47</f>
        <v>As at March 31, 2024</v>
      </c>
    </row>
    <row r="54" spans="1:6" ht="19" x14ac:dyDescent="0.45">
      <c r="A54" s="94"/>
      <c r="B54" s="307" t="s">
        <v>472</v>
      </c>
      <c r="C54" s="308"/>
      <c r="D54" s="309"/>
      <c r="E54" s="129">
        <v>2585438</v>
      </c>
      <c r="F54" s="305">
        <v>1293445</v>
      </c>
    </row>
    <row r="55" spans="1:6" ht="19.5" thickBot="1" x14ac:dyDescent="0.5">
      <c r="A55" s="94"/>
      <c r="B55" s="785" t="s">
        <v>32</v>
      </c>
      <c r="C55" s="786"/>
      <c r="D55" s="787"/>
      <c r="E55" s="138">
        <f>SUM(E54)</f>
        <v>2585438</v>
      </c>
      <c r="F55" s="138">
        <f>SUM(F54)</f>
        <v>1293445</v>
      </c>
    </row>
    <row r="56" spans="1:6" ht="19.5" thickTop="1" x14ac:dyDescent="0.45">
      <c r="A56" s="94"/>
      <c r="B56" s="111"/>
      <c r="C56" s="111"/>
      <c r="D56" s="111"/>
      <c r="E56" s="111"/>
      <c r="F56" s="111"/>
    </row>
    <row r="57" spans="1:6" ht="19" x14ac:dyDescent="0.45">
      <c r="A57" s="94" t="s">
        <v>169</v>
      </c>
      <c r="B57" s="310" t="s">
        <v>21</v>
      </c>
      <c r="C57" s="379"/>
      <c r="D57" s="379"/>
      <c r="E57" s="94"/>
      <c r="F57" s="94"/>
    </row>
    <row r="58" spans="1:6" ht="19" x14ac:dyDescent="0.45">
      <c r="A58" s="94"/>
      <c r="B58" s="310"/>
      <c r="C58" s="379"/>
      <c r="D58" s="379"/>
      <c r="E58" s="165"/>
      <c r="F58" s="165"/>
    </row>
    <row r="59" spans="1:6" ht="19" x14ac:dyDescent="0.45">
      <c r="A59" s="94"/>
      <c r="B59" s="640" t="s">
        <v>37</v>
      </c>
      <c r="C59" s="641"/>
      <c r="D59" s="642"/>
      <c r="E59" s="614" t="str">
        <f>$E$47</f>
        <v>As at March 31, 2025</v>
      </c>
      <c r="F59" s="614" t="str">
        <f>$F$47</f>
        <v>As at March 31, 2024</v>
      </c>
    </row>
    <row r="60" spans="1:6" ht="19" x14ac:dyDescent="0.45">
      <c r="A60" s="94"/>
      <c r="B60" s="643"/>
      <c r="C60" s="644"/>
      <c r="D60" s="645"/>
      <c r="E60" s="615"/>
      <c r="F60" s="615"/>
    </row>
    <row r="61" spans="1:6" ht="19" x14ac:dyDescent="0.45">
      <c r="A61" s="94"/>
      <c r="B61" s="800" t="s">
        <v>19</v>
      </c>
      <c r="C61" s="801"/>
      <c r="D61" s="801"/>
      <c r="E61" s="88"/>
      <c r="F61" s="88"/>
    </row>
    <row r="62" spans="1:6" ht="19" x14ac:dyDescent="0.45">
      <c r="A62" s="94"/>
      <c r="B62" s="722" t="s">
        <v>267</v>
      </c>
      <c r="C62" s="788"/>
      <c r="D62" s="381"/>
      <c r="E62" s="113"/>
      <c r="F62" s="113"/>
    </row>
    <row r="63" spans="1:6" ht="19" x14ac:dyDescent="0.45">
      <c r="A63" s="94"/>
      <c r="B63" s="272" t="s">
        <v>284</v>
      </c>
      <c r="C63" s="381"/>
      <c r="D63" s="381"/>
      <c r="E63" s="99">
        <f>Borrowing!F10</f>
        <v>0</v>
      </c>
      <c r="F63" s="113">
        <v>19972515.27</v>
      </c>
    </row>
    <row r="64" spans="1:6" ht="19" x14ac:dyDescent="0.45">
      <c r="A64" s="94"/>
      <c r="B64" s="722" t="s">
        <v>265</v>
      </c>
      <c r="C64" s="788"/>
      <c r="D64" s="788"/>
      <c r="E64" s="113">
        <f>Borrowing!F26</f>
        <v>0</v>
      </c>
      <c r="F64" s="113">
        <v>154225255.87</v>
      </c>
    </row>
    <row r="65" spans="1:12" ht="19" x14ac:dyDescent="0.45">
      <c r="A65" s="94"/>
      <c r="B65" s="380"/>
      <c r="C65" s="381"/>
      <c r="D65" s="383"/>
      <c r="E65" s="113"/>
      <c r="F65" s="113"/>
      <c r="L65" s="311"/>
    </row>
    <row r="66" spans="1:12" ht="19" x14ac:dyDescent="0.45">
      <c r="A66" s="94"/>
      <c r="B66" s="273" t="s">
        <v>20</v>
      </c>
      <c r="C66" s="381"/>
      <c r="D66" s="383"/>
      <c r="E66" s="113"/>
      <c r="F66" s="113"/>
      <c r="K66" s="312"/>
    </row>
    <row r="67" spans="1:12" ht="19" x14ac:dyDescent="0.45">
      <c r="A67" s="94"/>
      <c r="B67" s="722" t="s">
        <v>267</v>
      </c>
      <c r="C67" s="788"/>
      <c r="D67" s="383"/>
      <c r="E67" s="129"/>
      <c r="F67" s="113"/>
      <c r="K67" s="312"/>
    </row>
    <row r="68" spans="1:12" ht="19" x14ac:dyDescent="0.45">
      <c r="A68" s="94"/>
      <c r="B68" s="722" t="s">
        <v>284</v>
      </c>
      <c r="C68" s="788"/>
      <c r="D68" s="789"/>
      <c r="E68" s="99">
        <f>Borrowing!F14</f>
        <v>0</v>
      </c>
      <c r="F68" s="113">
        <v>14524628.65</v>
      </c>
      <c r="K68" s="312"/>
    </row>
    <row r="69" spans="1:12" ht="19" x14ac:dyDescent="0.45">
      <c r="A69" s="94"/>
      <c r="B69" s="722" t="s">
        <v>439</v>
      </c>
      <c r="C69" s="788"/>
      <c r="D69" s="789"/>
      <c r="E69" s="2">
        <f>Borrowing!F18</f>
        <v>0</v>
      </c>
      <c r="F69" s="113">
        <v>3852936.8500000024</v>
      </c>
    </row>
    <row r="70" spans="1:12" ht="19" x14ac:dyDescent="0.45">
      <c r="A70" s="94"/>
      <c r="B70" s="758" t="s">
        <v>440</v>
      </c>
      <c r="C70" s="759"/>
      <c r="D70" s="760"/>
      <c r="E70" s="129">
        <f>Borrowing!F32</f>
        <v>0</v>
      </c>
      <c r="F70" s="113">
        <v>8160628</v>
      </c>
    </row>
    <row r="71" spans="1:12" ht="19.5" thickBot="1" x14ac:dyDescent="0.5">
      <c r="A71" s="129"/>
      <c r="B71" s="785" t="s">
        <v>32</v>
      </c>
      <c r="C71" s="786"/>
      <c r="D71" s="787"/>
      <c r="E71" s="103">
        <f>SUM(E62:E70)</f>
        <v>0</v>
      </c>
      <c r="F71" s="103">
        <f>SUM(F63:F70)</f>
        <v>200735964.64000002</v>
      </c>
    </row>
    <row r="72" spans="1:12" ht="19.5" thickTop="1" x14ac:dyDescent="0.45">
      <c r="A72" s="129"/>
      <c r="B72" s="131" t="s">
        <v>843</v>
      </c>
      <c r="C72" s="94"/>
      <c r="D72" s="94"/>
      <c r="E72" s="139"/>
      <c r="F72" s="139"/>
    </row>
    <row r="73" spans="1:12" ht="19" x14ac:dyDescent="0.45">
      <c r="A73" s="129"/>
      <c r="B73" s="131"/>
      <c r="C73" s="94"/>
      <c r="D73" s="94"/>
      <c r="E73" s="139"/>
      <c r="F73" s="139"/>
    </row>
    <row r="74" spans="1:12" ht="19" x14ac:dyDescent="0.45">
      <c r="A74" s="140" t="s">
        <v>229</v>
      </c>
      <c r="B74" s="141" t="s">
        <v>216</v>
      </c>
      <c r="C74" s="94"/>
      <c r="D74" s="94"/>
      <c r="E74" s="139"/>
      <c r="F74" s="139"/>
    </row>
    <row r="75" spans="1:12" ht="19" x14ac:dyDescent="0.45">
      <c r="A75" s="129"/>
      <c r="B75" s="94"/>
      <c r="C75" s="94"/>
      <c r="D75" s="94"/>
      <c r="E75" s="139"/>
      <c r="F75" s="139"/>
    </row>
    <row r="76" spans="1:12" ht="18.75" customHeight="1" x14ac:dyDescent="0.45">
      <c r="A76" s="129"/>
      <c r="B76" s="640" t="s">
        <v>37</v>
      </c>
      <c r="C76" s="641"/>
      <c r="D76" s="641"/>
      <c r="E76" s="641"/>
      <c r="F76" s="641"/>
      <c r="G76" s="799" t="s">
        <v>768</v>
      </c>
      <c r="H76" s="799"/>
    </row>
    <row r="77" spans="1:12" ht="19" x14ac:dyDescent="0.45">
      <c r="A77" s="129"/>
      <c r="B77" s="643"/>
      <c r="C77" s="644"/>
      <c r="D77" s="644"/>
      <c r="E77" s="644"/>
      <c r="F77" s="644"/>
      <c r="G77" s="799"/>
      <c r="H77" s="799"/>
    </row>
    <row r="78" spans="1:12" ht="19" x14ac:dyDescent="0.45">
      <c r="A78" s="129"/>
      <c r="B78" s="142" t="s">
        <v>37</v>
      </c>
      <c r="C78" s="384" t="s">
        <v>345</v>
      </c>
      <c r="D78" s="382" t="s">
        <v>346</v>
      </c>
      <c r="E78" s="382" t="s">
        <v>347</v>
      </c>
      <c r="F78" s="384" t="s">
        <v>348</v>
      </c>
      <c r="G78" s="799"/>
      <c r="H78" s="799"/>
    </row>
    <row r="79" spans="1:12" ht="19" x14ac:dyDescent="0.45">
      <c r="A79" s="129"/>
      <c r="B79" s="97" t="s">
        <v>804</v>
      </c>
      <c r="C79" s="92"/>
      <c r="D79" s="107"/>
      <c r="E79" s="107"/>
      <c r="F79" s="2"/>
      <c r="G79" s="802"/>
      <c r="H79" s="803"/>
    </row>
    <row r="80" spans="1:12" ht="19" x14ac:dyDescent="0.45">
      <c r="A80" s="129"/>
      <c r="B80" s="97" t="s">
        <v>349</v>
      </c>
      <c r="C80" s="99">
        <v>76596297</v>
      </c>
      <c r="D80" s="107">
        <v>0</v>
      </c>
      <c r="E80" s="107">
        <v>0</v>
      </c>
      <c r="F80" s="2">
        <v>0</v>
      </c>
      <c r="G80" s="804">
        <f>SUM(C80:F80)</f>
        <v>76596297</v>
      </c>
      <c r="H80" s="805"/>
    </row>
    <row r="81" spans="1:10" ht="19" x14ac:dyDescent="0.45">
      <c r="A81" s="129"/>
      <c r="B81" s="506" t="s">
        <v>350</v>
      </c>
      <c r="C81" s="385">
        <v>19455513.579999998</v>
      </c>
      <c r="D81" s="99">
        <v>0</v>
      </c>
      <c r="E81" s="107">
        <v>0</v>
      </c>
      <c r="F81" s="107">
        <v>0</v>
      </c>
      <c r="G81" s="804">
        <f>SUM(C81:F81)</f>
        <v>19455513.579999998</v>
      </c>
      <c r="H81" s="805"/>
    </row>
    <row r="82" spans="1:10" ht="19" x14ac:dyDescent="0.45">
      <c r="A82" s="129"/>
      <c r="B82" s="97" t="s">
        <v>803</v>
      </c>
      <c r="C82" s="113">
        <v>0</v>
      </c>
      <c r="D82" s="107">
        <v>0</v>
      </c>
      <c r="E82" s="107">
        <v>0</v>
      </c>
      <c r="F82" s="2">
        <v>0</v>
      </c>
      <c r="G82" s="804">
        <f t="shared" ref="G82:G84" si="1">SUM(C82:F82)</f>
        <v>0</v>
      </c>
      <c r="H82" s="805"/>
    </row>
    <row r="83" spans="1:10" ht="19" x14ac:dyDescent="0.45">
      <c r="A83" s="129"/>
      <c r="B83" s="97" t="s">
        <v>349</v>
      </c>
      <c r="C83" s="113">
        <v>0</v>
      </c>
      <c r="D83" s="99">
        <v>0</v>
      </c>
      <c r="E83" s="107">
        <v>0</v>
      </c>
      <c r="F83" s="2">
        <f>'[1]Annexure-1'!$E$35</f>
        <v>1065039.1399999999</v>
      </c>
      <c r="G83" s="804">
        <f t="shared" si="1"/>
        <v>1065039.1399999999</v>
      </c>
      <c r="H83" s="805"/>
    </row>
    <row r="84" spans="1:10" ht="19" x14ac:dyDescent="0.45">
      <c r="A84" s="129"/>
      <c r="B84" s="143" t="s">
        <v>350</v>
      </c>
      <c r="C84" s="113">
        <v>0</v>
      </c>
      <c r="D84" s="107">
        <v>0</v>
      </c>
      <c r="E84" s="107">
        <v>0</v>
      </c>
      <c r="F84" s="2">
        <v>0</v>
      </c>
      <c r="G84" s="804">
        <f t="shared" si="1"/>
        <v>0</v>
      </c>
      <c r="H84" s="805"/>
    </row>
    <row r="85" spans="1:10" ht="19" x14ac:dyDescent="0.45">
      <c r="A85" s="129"/>
      <c r="B85" s="393" t="s">
        <v>32</v>
      </c>
      <c r="C85" s="144">
        <f>SUM(C79:C84)</f>
        <v>96051810.579999998</v>
      </c>
      <c r="D85" s="144">
        <f>SUM(D79:D84)</f>
        <v>0</v>
      </c>
      <c r="E85" s="144">
        <f>SUM(E79:E84)</f>
        <v>0</v>
      </c>
      <c r="F85" s="144">
        <f>SUM(F79:F84)</f>
        <v>1065039.1399999999</v>
      </c>
      <c r="G85" s="797">
        <f>SUM(G79:H84)</f>
        <v>97116849.719999999</v>
      </c>
      <c r="H85" s="798"/>
      <c r="J85" s="311"/>
    </row>
    <row r="86" spans="1:10" ht="19" x14ac:dyDescent="0.45">
      <c r="A86" s="129"/>
      <c r="C86" s="94"/>
      <c r="D86" s="94"/>
      <c r="E86" s="139"/>
      <c r="F86" s="139"/>
    </row>
    <row r="87" spans="1:10" ht="19" x14ac:dyDescent="0.45">
      <c r="A87" s="129"/>
      <c r="B87" s="640" t="s">
        <v>37</v>
      </c>
      <c r="C87" s="641"/>
      <c r="D87" s="641"/>
      <c r="E87" s="641"/>
      <c r="F87" s="641"/>
      <c r="G87" s="799" t="s">
        <v>459</v>
      </c>
      <c r="H87" s="799"/>
    </row>
    <row r="88" spans="1:10" ht="19" x14ac:dyDescent="0.45">
      <c r="A88" s="129"/>
      <c r="B88" s="643"/>
      <c r="C88" s="644"/>
      <c r="D88" s="644"/>
      <c r="E88" s="644"/>
      <c r="F88" s="644"/>
      <c r="G88" s="799"/>
      <c r="H88" s="799"/>
    </row>
    <row r="89" spans="1:10" ht="19" x14ac:dyDescent="0.45">
      <c r="A89" s="129"/>
      <c r="B89" s="142" t="s">
        <v>37</v>
      </c>
      <c r="C89" s="384" t="s">
        <v>345</v>
      </c>
      <c r="D89" s="382" t="s">
        <v>346</v>
      </c>
      <c r="E89" s="382" t="s">
        <v>347</v>
      </c>
      <c r="F89" s="384" t="s">
        <v>348</v>
      </c>
      <c r="G89" s="799"/>
      <c r="H89" s="799"/>
    </row>
    <row r="90" spans="1:10" ht="19" x14ac:dyDescent="0.45">
      <c r="A90" s="129"/>
      <c r="B90" s="97" t="s">
        <v>804</v>
      </c>
      <c r="C90" s="92"/>
      <c r="D90" s="107"/>
      <c r="E90" s="107"/>
      <c r="F90" s="2"/>
      <c r="G90" s="802"/>
      <c r="H90" s="803"/>
    </row>
    <row r="91" spans="1:10" ht="19" x14ac:dyDescent="0.45">
      <c r="A91" s="129"/>
      <c r="B91" s="97" t="s">
        <v>349</v>
      </c>
      <c r="C91" s="113">
        <v>58628278</v>
      </c>
      <c r="D91" s="107">
        <v>0</v>
      </c>
      <c r="E91" s="107">
        <v>0</v>
      </c>
      <c r="F91" s="2">
        <v>0</v>
      </c>
      <c r="G91" s="804">
        <f>SUM(C91:F91)</f>
        <v>58628278</v>
      </c>
      <c r="H91" s="805"/>
    </row>
    <row r="92" spans="1:10" ht="19" x14ac:dyDescent="0.45">
      <c r="A92" s="129"/>
      <c r="B92" s="506" t="s">
        <v>350</v>
      </c>
      <c r="C92" s="113">
        <v>20765257</v>
      </c>
      <c r="D92" s="107">
        <v>1425667</v>
      </c>
      <c r="E92" s="107">
        <v>0</v>
      </c>
      <c r="F92" s="107">
        <v>0</v>
      </c>
      <c r="G92" s="804">
        <f>SUM(C92:F92)</f>
        <v>22190924</v>
      </c>
      <c r="H92" s="805"/>
    </row>
    <row r="93" spans="1:10" ht="19" x14ac:dyDescent="0.45">
      <c r="A93" s="129"/>
      <c r="B93" s="97" t="s">
        <v>803</v>
      </c>
      <c r="C93" s="113">
        <v>0</v>
      </c>
      <c r="D93" s="107">
        <v>0</v>
      </c>
      <c r="E93" s="107">
        <v>0</v>
      </c>
      <c r="F93" s="2">
        <v>0</v>
      </c>
      <c r="G93" s="809">
        <f>SUM(C93:F93)</f>
        <v>0</v>
      </c>
      <c r="H93" s="810"/>
    </row>
    <row r="94" spans="1:10" ht="19" x14ac:dyDescent="0.45">
      <c r="A94" s="129"/>
      <c r="B94" s="97" t="s">
        <v>349</v>
      </c>
      <c r="C94" s="113">
        <v>0</v>
      </c>
      <c r="D94" s="107">
        <v>0</v>
      </c>
      <c r="E94" s="107">
        <v>1065039</v>
      </c>
      <c r="F94" s="2">
        <v>0</v>
      </c>
      <c r="G94" s="804">
        <f>SUM(C94:F94)</f>
        <v>1065039</v>
      </c>
      <c r="H94" s="805"/>
    </row>
    <row r="95" spans="1:10" ht="19" x14ac:dyDescent="0.45">
      <c r="A95" s="129"/>
      <c r="B95" s="143" t="s">
        <v>350</v>
      </c>
      <c r="C95" s="113">
        <v>0</v>
      </c>
      <c r="D95" s="107">
        <v>0</v>
      </c>
      <c r="E95" s="107">
        <v>0</v>
      </c>
      <c r="F95" s="2">
        <v>0</v>
      </c>
      <c r="G95" s="811">
        <f>SUM(C95:F95)</f>
        <v>0</v>
      </c>
      <c r="H95" s="812"/>
    </row>
    <row r="96" spans="1:10" ht="19" x14ac:dyDescent="0.45">
      <c r="A96" s="129"/>
      <c r="B96" s="393" t="s">
        <v>32</v>
      </c>
      <c r="C96" s="144">
        <f>SUM(C91:C95)</f>
        <v>79393535</v>
      </c>
      <c r="D96" s="144">
        <f>SUM(D91:D95)</f>
        <v>1425667</v>
      </c>
      <c r="E96" s="144">
        <f>SUM(E91:E95)</f>
        <v>1065039</v>
      </c>
      <c r="F96" s="144">
        <f>SUM(F91:F95)</f>
        <v>0</v>
      </c>
      <c r="G96" s="797">
        <f>SUM(G91:H95)</f>
        <v>81884241</v>
      </c>
      <c r="H96" s="806"/>
    </row>
    <row r="97" spans="1:6" ht="19" x14ac:dyDescent="0.45">
      <c r="A97" s="129"/>
      <c r="B97" s="392" t="s">
        <v>828</v>
      </c>
      <c r="C97" s="94"/>
      <c r="D97" s="94"/>
      <c r="E97" s="139"/>
      <c r="F97" s="139"/>
    </row>
    <row r="98" spans="1:6" ht="19" x14ac:dyDescent="0.45">
      <c r="A98" s="129"/>
      <c r="B98" s="131"/>
      <c r="C98" s="94"/>
      <c r="D98" s="94"/>
      <c r="E98" s="139"/>
      <c r="F98" s="139"/>
    </row>
    <row r="99" spans="1:6" ht="19" x14ac:dyDescent="0.45">
      <c r="A99" s="94" t="s">
        <v>230</v>
      </c>
      <c r="B99" s="392" t="s">
        <v>5</v>
      </c>
      <c r="C99" s="94"/>
      <c r="D99" s="379"/>
      <c r="E99" s="94"/>
      <c r="F99" s="94"/>
    </row>
    <row r="100" spans="1:6" ht="19" x14ac:dyDescent="0.45">
      <c r="A100" s="94"/>
      <c r="B100" s="392"/>
      <c r="C100" s="94"/>
      <c r="D100" s="379"/>
      <c r="E100" s="94"/>
      <c r="F100" s="165"/>
    </row>
    <row r="101" spans="1:6" ht="38" x14ac:dyDescent="0.45">
      <c r="A101" s="94"/>
      <c r="B101" s="753" t="s">
        <v>37</v>
      </c>
      <c r="C101" s="762"/>
      <c r="D101" s="754"/>
      <c r="E101" s="384" t="str">
        <f>$E$59</f>
        <v>As at March 31, 2025</v>
      </c>
      <c r="F101" s="384" t="str">
        <f>$F$59</f>
        <v>As at March 31, 2024</v>
      </c>
    </row>
    <row r="102" spans="1:6" ht="19" x14ac:dyDescent="0.45">
      <c r="A102" s="94"/>
      <c r="B102" s="378" t="s">
        <v>659</v>
      </c>
      <c r="C102" s="308"/>
      <c r="D102" s="309"/>
      <c r="E102" s="612">
        <f>'[2]All Branches Combined'!$O$270</f>
        <v>15609433.32</v>
      </c>
      <c r="F102" s="385">
        <v>33124884.09</v>
      </c>
    </row>
    <row r="103" spans="1:6" ht="19" x14ac:dyDescent="0.45">
      <c r="A103" s="94"/>
      <c r="B103" s="378" t="s">
        <v>142</v>
      </c>
      <c r="C103" s="379"/>
      <c r="D103" s="276"/>
      <c r="E103" s="611">
        <f>'[2]All Branches Combined'!$O$271</f>
        <v>141105</v>
      </c>
      <c r="F103" s="109">
        <v>245216</v>
      </c>
    </row>
    <row r="104" spans="1:6" ht="19" x14ac:dyDescent="0.45">
      <c r="A104" s="94"/>
      <c r="B104" s="378" t="s">
        <v>145</v>
      </c>
      <c r="C104" s="379"/>
      <c r="D104" s="276"/>
      <c r="E104" s="611">
        <f>'[2]All Branches Combined'!$O$274</f>
        <v>7143392.7000000002</v>
      </c>
      <c r="F104" s="109">
        <v>7836675.7999999998</v>
      </c>
    </row>
    <row r="105" spans="1:6" ht="19" hidden="1" x14ac:dyDescent="0.45">
      <c r="A105" s="94"/>
      <c r="B105" s="378" t="s">
        <v>143</v>
      </c>
      <c r="C105" s="379"/>
      <c r="D105" s="276"/>
      <c r="E105" s="109"/>
      <c r="F105" s="109">
        <v>0</v>
      </c>
    </row>
    <row r="106" spans="1:6" ht="19" x14ac:dyDescent="0.45">
      <c r="A106" s="94"/>
      <c r="B106" s="378" t="s">
        <v>140</v>
      </c>
      <c r="C106" s="379"/>
      <c r="D106" s="276"/>
      <c r="E106" s="109"/>
      <c r="F106" s="109"/>
    </row>
    <row r="107" spans="1:6" ht="19" x14ac:dyDescent="0.45">
      <c r="A107" s="94"/>
      <c r="B107" s="378" t="s">
        <v>478</v>
      </c>
      <c r="C107" s="379"/>
      <c r="D107" s="276"/>
      <c r="E107" s="109">
        <v>1809167.9699999997</v>
      </c>
      <c r="F107" s="109">
        <v>1381113</v>
      </c>
    </row>
    <row r="108" spans="1:6" ht="19" x14ac:dyDescent="0.45">
      <c r="A108" s="94"/>
      <c r="B108" s="378" t="s">
        <v>479</v>
      </c>
      <c r="C108" s="379"/>
      <c r="D108" s="276"/>
      <c r="E108" s="611">
        <f>'[2]All Branches Combined'!$O$273</f>
        <v>12790570.379999999</v>
      </c>
      <c r="F108" s="109">
        <v>22450135.18</v>
      </c>
    </row>
    <row r="109" spans="1:6" ht="19" x14ac:dyDescent="0.45">
      <c r="A109" s="94"/>
      <c r="B109" s="378" t="s">
        <v>805</v>
      </c>
      <c r="C109" s="379"/>
      <c r="D109" s="276"/>
      <c r="E109" s="611">
        <f>'[2]All Branches Combined'!$O$277+'[2]All Branches Combined'!$O$278</f>
        <v>384554</v>
      </c>
      <c r="F109" s="109">
        <v>1009701</v>
      </c>
    </row>
    <row r="110" spans="1:6" ht="19" x14ac:dyDescent="0.45">
      <c r="A110" s="94"/>
      <c r="B110" s="378" t="s">
        <v>144</v>
      </c>
      <c r="C110" s="379"/>
      <c r="D110" s="276"/>
      <c r="E110" s="611">
        <v>21897610</v>
      </c>
      <c r="F110" s="109">
        <v>7508815.6100000003</v>
      </c>
    </row>
    <row r="111" spans="1:6" ht="19" x14ac:dyDescent="0.45">
      <c r="A111" s="94"/>
      <c r="B111" s="378" t="s">
        <v>141</v>
      </c>
      <c r="C111" s="379"/>
      <c r="D111" s="276"/>
      <c r="E111" s="611">
        <v>740884</v>
      </c>
      <c r="F111" s="109">
        <v>205510</v>
      </c>
    </row>
    <row r="112" spans="1:6" ht="19.5" thickBot="1" x14ac:dyDescent="0.5">
      <c r="A112" s="94"/>
      <c r="B112" s="785" t="s">
        <v>32</v>
      </c>
      <c r="C112" s="786"/>
      <c r="D112" s="787"/>
      <c r="E112" s="145">
        <f>SUM(E102:E111)</f>
        <v>60516717.369999997</v>
      </c>
      <c r="F112" s="145">
        <f t="shared" ref="F112" si="2">SUM(F102:F111)</f>
        <v>73762050.680000007</v>
      </c>
    </row>
    <row r="113" spans="1:6" ht="19.5" thickTop="1" x14ac:dyDescent="0.45">
      <c r="A113" s="94"/>
      <c r="B113" s="131"/>
      <c r="C113" s="379"/>
      <c r="D113" s="379"/>
      <c r="E113" s="146"/>
      <c r="F113" s="146"/>
    </row>
    <row r="114" spans="1:6" ht="19" x14ac:dyDescent="0.45">
      <c r="A114" s="94" t="s">
        <v>231</v>
      </c>
      <c r="B114" s="392" t="s">
        <v>8</v>
      </c>
      <c r="C114" s="379"/>
      <c r="D114" s="379"/>
      <c r="E114" s="94"/>
      <c r="F114" s="94"/>
    </row>
    <row r="115" spans="1:6" ht="19" x14ac:dyDescent="0.45">
      <c r="A115" s="94"/>
      <c r="B115" s="392"/>
      <c r="C115" s="379"/>
      <c r="D115" s="379"/>
      <c r="E115" s="165"/>
      <c r="F115" s="165"/>
    </row>
    <row r="116" spans="1:6" ht="38" x14ac:dyDescent="0.45">
      <c r="A116" s="94"/>
      <c r="B116" s="753" t="s">
        <v>37</v>
      </c>
      <c r="C116" s="762"/>
      <c r="D116" s="754"/>
      <c r="E116" s="384" t="str">
        <f>$E$59</f>
        <v>As at March 31, 2025</v>
      </c>
      <c r="F116" s="384" t="str">
        <f>$F$59</f>
        <v>As at March 31, 2024</v>
      </c>
    </row>
    <row r="117" spans="1:6" ht="19" x14ac:dyDescent="0.45">
      <c r="A117" s="94"/>
      <c r="B117" s="378" t="s">
        <v>660</v>
      </c>
      <c r="C117" s="379"/>
      <c r="D117" s="276"/>
      <c r="E117" s="611">
        <f>18282862+1071270+623793+3971420</f>
        <v>23949345</v>
      </c>
      <c r="F117" s="109">
        <v>16559164</v>
      </c>
    </row>
    <row r="118" spans="1:6" ht="19" x14ac:dyDescent="0.45">
      <c r="A118" s="94"/>
      <c r="B118" s="378" t="s">
        <v>661</v>
      </c>
      <c r="C118" s="379"/>
      <c r="D118" s="276"/>
      <c r="E118" s="109">
        <v>450000</v>
      </c>
      <c r="F118" s="109">
        <v>270000</v>
      </c>
    </row>
    <row r="119" spans="1:6" ht="19" x14ac:dyDescent="0.45">
      <c r="A119" s="94"/>
      <c r="B119" s="378" t="str">
        <f>B54</f>
        <v>Provisions for Gratuity</v>
      </c>
      <c r="C119" s="379"/>
      <c r="D119" s="276"/>
      <c r="E119" s="611">
        <v>715501</v>
      </c>
      <c r="F119" s="109">
        <v>113608</v>
      </c>
    </row>
    <row r="120" spans="1:6" ht="19.5" thickBot="1" x14ac:dyDescent="0.5">
      <c r="A120" s="94"/>
      <c r="B120" s="785" t="s">
        <v>32</v>
      </c>
      <c r="C120" s="786"/>
      <c r="D120" s="787"/>
      <c r="E120" s="145">
        <f>SUM(E117:E119)</f>
        <v>25114846</v>
      </c>
      <c r="F120" s="145">
        <f>SUM(F117:F119)</f>
        <v>16942772</v>
      </c>
    </row>
    <row r="121" spans="1:6" ht="13" thickTop="1" x14ac:dyDescent="0.25"/>
  </sheetData>
  <mergeCells count="61">
    <mergeCell ref="G90:H90"/>
    <mergeCell ref="G80:H80"/>
    <mergeCell ref="G96:H96"/>
    <mergeCell ref="A2:H2"/>
    <mergeCell ref="A3:H3"/>
    <mergeCell ref="G87:H89"/>
    <mergeCell ref="G91:H91"/>
    <mergeCell ref="G92:H92"/>
    <mergeCell ref="G93:H93"/>
    <mergeCell ref="G94:H94"/>
    <mergeCell ref="G95:H95"/>
    <mergeCell ref="G79:H79"/>
    <mergeCell ref="G81:H81"/>
    <mergeCell ref="G82:H82"/>
    <mergeCell ref="G83:H83"/>
    <mergeCell ref="G84:H84"/>
    <mergeCell ref="B68:D68"/>
    <mergeCell ref="G85:H85"/>
    <mergeCell ref="G76:H78"/>
    <mergeCell ref="F20:F21"/>
    <mergeCell ref="B61:D61"/>
    <mergeCell ref="B22:D22"/>
    <mergeCell ref="E20:E21"/>
    <mergeCell ref="B30:D30"/>
    <mergeCell ref="B20:D21"/>
    <mergeCell ref="B53:D53"/>
    <mergeCell ref="B55:D55"/>
    <mergeCell ref="B76:F77"/>
    <mergeCell ref="B67:C67"/>
    <mergeCell ref="B71:D71"/>
    <mergeCell ref="F59:F60"/>
    <mergeCell ref="E59:E60"/>
    <mergeCell ref="B43:C43"/>
    <mergeCell ref="B47:D47"/>
    <mergeCell ref="B49:D49"/>
    <mergeCell ref="B62:C62"/>
    <mergeCell ref="B15:D15"/>
    <mergeCell ref="B35:C35"/>
    <mergeCell ref="B37:C37"/>
    <mergeCell ref="B59:D60"/>
    <mergeCell ref="E7:E8"/>
    <mergeCell ref="F7:F8"/>
    <mergeCell ref="B7:D8"/>
    <mergeCell ref="B10:D10"/>
    <mergeCell ref="B12:D12"/>
    <mergeCell ref="C13:D13"/>
    <mergeCell ref="B9:D9"/>
    <mergeCell ref="B11:D11"/>
    <mergeCell ref="B112:D112"/>
    <mergeCell ref="B120:D120"/>
    <mergeCell ref="B87:F88"/>
    <mergeCell ref="B116:D116"/>
    <mergeCell ref="B101:D101"/>
    <mergeCell ref="B70:D70"/>
    <mergeCell ref="B69:D69"/>
    <mergeCell ref="B16:D16"/>
    <mergeCell ref="B64:D64"/>
    <mergeCell ref="B38:C38"/>
    <mergeCell ref="B40:C40"/>
    <mergeCell ref="B41:C41"/>
    <mergeCell ref="B42:C42"/>
  </mergeCells>
  <pageMargins left="0.2" right="0.08" top="0.35433070866141736" bottom="0.35433070866141736" header="0.31496062992125984" footer="0.31496062992125984"/>
  <pageSetup scale="52" orientation="portrait" r:id="rId1"/>
  <rowBreaks count="1" manualBreakCount="1">
    <brk id="56"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Q45"/>
  <sheetViews>
    <sheetView showGridLines="0" view="pageBreakPreview" zoomScale="70" zoomScaleNormal="100" zoomScaleSheetLayoutView="70" workbookViewId="0">
      <selection activeCell="B26" sqref="B25:B26"/>
    </sheetView>
  </sheetViews>
  <sheetFormatPr defaultColWidth="9.26953125" defaultRowHeight="19" x14ac:dyDescent="0.45"/>
  <cols>
    <col min="1" max="1" width="46" style="129" customWidth="1"/>
    <col min="2" max="2" width="24.26953125" style="129" bestFit="1" customWidth="1"/>
    <col min="3" max="3" width="22.7265625" style="129" bestFit="1" customWidth="1"/>
    <col min="4" max="4" width="19.453125" style="129" bestFit="1" customWidth="1"/>
    <col min="5" max="5" width="24.26953125" style="129" bestFit="1" customWidth="1"/>
    <col min="6" max="6" width="22.7265625" style="129" bestFit="1" customWidth="1"/>
    <col min="7" max="7" width="22.7265625" style="129" customWidth="1"/>
    <col min="8" max="8" width="20.26953125" style="129" bestFit="1" customWidth="1"/>
    <col min="9" max="9" width="22.7265625" style="129" bestFit="1" customWidth="1"/>
    <col min="10" max="11" width="24.26953125" style="129" bestFit="1" customWidth="1"/>
    <col min="12" max="12" width="19.7265625" style="129" bestFit="1" customWidth="1"/>
    <col min="13" max="13" width="15.7265625" style="129" bestFit="1" customWidth="1"/>
    <col min="14" max="14" width="19.7265625" style="129" bestFit="1" customWidth="1"/>
    <col min="15" max="15" width="16.7265625" style="129" bestFit="1" customWidth="1"/>
    <col min="16" max="16" width="12.7265625" style="129" bestFit="1" customWidth="1"/>
    <col min="17" max="17" width="12.26953125" style="129" bestFit="1" customWidth="1"/>
    <col min="18" max="16384" width="9.26953125" style="129"/>
  </cols>
  <sheetData>
    <row r="1" spans="1:17" ht="20.5" x14ac:dyDescent="0.45">
      <c r="A1" s="813" t="str">
        <f>'BS PnL'!A2</f>
        <v>ABC INDIA LIMITED</v>
      </c>
      <c r="B1" s="813"/>
      <c r="C1" s="813"/>
      <c r="D1" s="813"/>
      <c r="E1" s="813"/>
      <c r="F1" s="813"/>
      <c r="G1" s="813"/>
      <c r="H1" s="813"/>
      <c r="I1" s="813"/>
      <c r="J1" s="813"/>
      <c r="K1" s="813"/>
    </row>
    <row r="2" spans="1:17" ht="19.5" thickBot="1" x14ac:dyDescent="0.5">
      <c r="A2" s="169" t="str">
        <f>'NOTE (4-12)'!A3:H3</f>
        <v>Notes to financial statements for the year ended at 31st March 2025</v>
      </c>
      <c r="B2" s="169"/>
      <c r="C2" s="169"/>
      <c r="D2" s="169"/>
      <c r="E2" s="169"/>
      <c r="F2" s="169"/>
      <c r="G2" s="169"/>
      <c r="H2" s="169"/>
      <c r="I2" s="169"/>
      <c r="J2" s="169"/>
      <c r="K2" s="169"/>
    </row>
    <row r="3" spans="1:17" ht="19.5" thickTop="1" x14ac:dyDescent="0.45">
      <c r="A3" s="94"/>
      <c r="B3" s="94"/>
      <c r="C3" s="94"/>
      <c r="H3" s="94"/>
      <c r="I3" s="94"/>
      <c r="J3" s="94"/>
      <c r="K3" s="94"/>
    </row>
    <row r="4" spans="1:17" x14ac:dyDescent="0.45">
      <c r="A4" s="128" t="s">
        <v>806</v>
      </c>
      <c r="F4" s="313"/>
      <c r="K4" s="183"/>
    </row>
    <row r="5" spans="1:17" ht="19.5" thickBot="1" x14ac:dyDescent="0.5">
      <c r="A5" s="128"/>
      <c r="F5" s="313"/>
      <c r="K5" s="314"/>
    </row>
    <row r="6" spans="1:17" ht="19.5" thickBot="1" x14ac:dyDescent="0.5">
      <c r="A6" s="822" t="s">
        <v>0</v>
      </c>
      <c r="B6" s="814" t="s">
        <v>290</v>
      </c>
      <c r="C6" s="815"/>
      <c r="D6" s="815"/>
      <c r="E6" s="816"/>
      <c r="F6" s="817" t="s">
        <v>291</v>
      </c>
      <c r="G6" s="817"/>
      <c r="H6" s="817"/>
      <c r="I6" s="817"/>
      <c r="J6" s="814" t="s">
        <v>292</v>
      </c>
      <c r="K6" s="816"/>
    </row>
    <row r="7" spans="1:17" ht="18.75" customHeight="1" x14ac:dyDescent="0.45">
      <c r="A7" s="823"/>
      <c r="B7" s="315" t="s">
        <v>293</v>
      </c>
      <c r="C7" s="818" t="s">
        <v>294</v>
      </c>
      <c r="D7" s="818" t="s">
        <v>295</v>
      </c>
      <c r="E7" s="316" t="s">
        <v>24</v>
      </c>
      <c r="F7" s="315" t="s">
        <v>296</v>
      </c>
      <c r="G7" s="317" t="s">
        <v>297</v>
      </c>
      <c r="H7" s="818" t="s">
        <v>298</v>
      </c>
      <c r="I7" s="820" t="s">
        <v>24</v>
      </c>
      <c r="J7" s="318" t="s">
        <v>299</v>
      </c>
      <c r="K7" s="316" t="s">
        <v>299</v>
      </c>
    </row>
    <row r="8" spans="1:17" ht="19.5" thickBot="1" x14ac:dyDescent="0.5">
      <c r="A8" s="824"/>
      <c r="B8" s="319" t="s">
        <v>745</v>
      </c>
      <c r="C8" s="819"/>
      <c r="D8" s="819"/>
      <c r="E8" s="320" t="s">
        <v>771</v>
      </c>
      <c r="F8" s="319" t="s">
        <v>461</v>
      </c>
      <c r="G8" s="321" t="s">
        <v>300</v>
      </c>
      <c r="H8" s="819"/>
      <c r="I8" s="821"/>
      <c r="J8" s="322" t="s">
        <v>779</v>
      </c>
      <c r="K8" s="320" t="s">
        <v>462</v>
      </c>
    </row>
    <row r="9" spans="1:17" x14ac:dyDescent="0.45">
      <c r="A9" s="323"/>
      <c r="B9" s="160"/>
      <c r="C9" s="161"/>
      <c r="D9" s="161"/>
      <c r="E9" s="162"/>
      <c r="F9" s="160" t="s">
        <v>1</v>
      </c>
      <c r="G9" s="161"/>
      <c r="H9" s="161"/>
      <c r="I9" s="162"/>
      <c r="J9" s="161"/>
      <c r="K9" s="323"/>
    </row>
    <row r="10" spans="1:17" x14ac:dyDescent="0.45">
      <c r="A10" s="150" t="s">
        <v>338</v>
      </c>
      <c r="B10" s="147"/>
      <c r="E10" s="148"/>
      <c r="F10" s="147"/>
      <c r="I10" s="148"/>
      <c r="J10" s="2"/>
      <c r="K10" s="149"/>
    </row>
    <row r="11" spans="1:17" x14ac:dyDescent="0.45">
      <c r="A11" s="149"/>
      <c r="B11" s="147"/>
      <c r="E11" s="148"/>
      <c r="F11" s="147"/>
      <c r="G11" s="2"/>
      <c r="H11" s="2"/>
      <c r="I11" s="148"/>
      <c r="J11" s="2"/>
      <c r="K11" s="149"/>
    </row>
    <row r="12" spans="1:17" x14ac:dyDescent="0.45">
      <c r="A12" s="150" t="s">
        <v>283</v>
      </c>
      <c r="B12" s="147">
        <v>91693612.030000001</v>
      </c>
      <c r="C12" s="129">
        <v>21798951.580000002</v>
      </c>
      <c r="D12" s="2">
        <v>0</v>
      </c>
      <c r="E12" s="148">
        <f t="shared" ref="E12:E16" si="0">B12+C12-D12</f>
        <v>113492563.61</v>
      </c>
      <c r="F12" s="147">
        <f>28409389.4621273+242760-1203</f>
        <v>28650946.462127302</v>
      </c>
      <c r="G12" s="2">
        <v>7315765.1311311843</v>
      </c>
      <c r="H12" s="2">
        <v>0</v>
      </c>
      <c r="I12" s="148">
        <f t="shared" ref="I12:I16" si="1">F12+G12-H12</f>
        <v>35966711.593258485</v>
      </c>
      <c r="J12" s="2">
        <f t="shared" ref="J12:J17" si="2">E12-I12</f>
        <v>77525852.016741514</v>
      </c>
      <c r="K12" s="149">
        <v>60816470.785335407</v>
      </c>
    </row>
    <row r="13" spans="1:17" x14ac:dyDescent="0.45">
      <c r="A13" s="150" t="s">
        <v>301</v>
      </c>
      <c r="B13" s="147">
        <v>1023483</v>
      </c>
      <c r="C13" s="129">
        <v>2056824.55</v>
      </c>
      <c r="D13" s="2">
        <v>0</v>
      </c>
      <c r="E13" s="148">
        <f t="shared" si="0"/>
        <v>3080307.55</v>
      </c>
      <c r="F13" s="147">
        <v>646471.97000000009</v>
      </c>
      <c r="G13" s="2">
        <v>84455.991868356155</v>
      </c>
      <c r="H13" s="2">
        <v>0</v>
      </c>
      <c r="I13" s="148">
        <f t="shared" si="1"/>
        <v>730927.96186835621</v>
      </c>
      <c r="J13" s="2">
        <f t="shared" si="2"/>
        <v>2349379.5881316438</v>
      </c>
      <c r="K13" s="149">
        <v>387789.59675368969</v>
      </c>
    </row>
    <row r="14" spans="1:17" x14ac:dyDescent="0.45">
      <c r="A14" s="150" t="s">
        <v>302</v>
      </c>
      <c r="B14" s="147">
        <v>172091691.63</v>
      </c>
      <c r="C14" s="2">
        <v>0</v>
      </c>
      <c r="D14" s="2">
        <v>0</v>
      </c>
      <c r="E14" s="148">
        <f t="shared" si="0"/>
        <v>172091691.63</v>
      </c>
      <c r="F14" s="147">
        <v>10575724</v>
      </c>
      <c r="G14" s="2">
        <v>5455306.6395700006</v>
      </c>
      <c r="H14" s="2">
        <v>0</v>
      </c>
      <c r="I14" s="148">
        <f t="shared" si="1"/>
        <v>16031030.639570002</v>
      </c>
      <c r="J14" s="2">
        <f t="shared" si="2"/>
        <v>156060660.99043</v>
      </c>
      <c r="K14" s="149">
        <v>161515965.96618834</v>
      </c>
      <c r="Q14" s="151"/>
    </row>
    <row r="15" spans="1:17" x14ac:dyDescent="0.45">
      <c r="A15" s="150" t="s">
        <v>303</v>
      </c>
      <c r="B15" s="147">
        <v>2763306.28</v>
      </c>
      <c r="C15" s="2">
        <v>417741.27999999997</v>
      </c>
      <c r="D15" s="2">
        <v>0</v>
      </c>
      <c r="E15" s="148">
        <f t="shared" si="0"/>
        <v>3181047.5599999996</v>
      </c>
      <c r="F15" s="147">
        <v>1394739.4799999997</v>
      </c>
      <c r="G15" s="2">
        <v>550030.07848644676</v>
      </c>
      <c r="H15" s="2">
        <v>0</v>
      </c>
      <c r="I15" s="148">
        <f t="shared" si="1"/>
        <v>1944769.5584864465</v>
      </c>
      <c r="J15" s="2">
        <f t="shared" si="2"/>
        <v>1236278.0015135531</v>
      </c>
      <c r="K15" s="149">
        <v>3895510.8638977259</v>
      </c>
    </row>
    <row r="16" spans="1:17" x14ac:dyDescent="0.45">
      <c r="A16" s="150" t="s">
        <v>304</v>
      </c>
      <c r="B16" s="147">
        <v>3637603.77</v>
      </c>
      <c r="C16" s="2">
        <v>605519.66</v>
      </c>
      <c r="D16" s="2">
        <v>0</v>
      </c>
      <c r="E16" s="148">
        <f t="shared" si="0"/>
        <v>4243123.43</v>
      </c>
      <c r="F16" s="147">
        <v>2462744.9500000002</v>
      </c>
      <c r="G16" s="2">
        <v>825876.86159980274</v>
      </c>
      <c r="H16" s="2">
        <v>0</v>
      </c>
      <c r="I16" s="148">
        <f t="shared" si="1"/>
        <v>3288621.8115998032</v>
      </c>
      <c r="J16" s="2">
        <f t="shared" si="2"/>
        <v>954501.61840019654</v>
      </c>
      <c r="K16" s="149">
        <v>1319328.06024754</v>
      </c>
    </row>
    <row r="17" spans="1:11" x14ac:dyDescent="0.45">
      <c r="A17" s="150" t="s">
        <v>305</v>
      </c>
      <c r="B17" s="147">
        <v>14498181.76</v>
      </c>
      <c r="C17" s="2">
        <v>3801727.15</v>
      </c>
      <c r="D17" s="2">
        <v>0</v>
      </c>
      <c r="E17" s="148">
        <f>B17+C17+D17</f>
        <v>18299908.91</v>
      </c>
      <c r="F17" s="147">
        <v>5177363</v>
      </c>
      <c r="G17" s="2">
        <v>1590908.4170284888</v>
      </c>
      <c r="H17" s="2">
        <v>0</v>
      </c>
      <c r="I17" s="148">
        <f>F17+G17+H17</f>
        <v>6768271.4170284886</v>
      </c>
      <c r="J17" s="2">
        <f t="shared" si="2"/>
        <v>11531637.492971512</v>
      </c>
      <c r="K17" s="149">
        <v>9107584.1914853603</v>
      </c>
    </row>
    <row r="18" spans="1:11" x14ac:dyDescent="0.45">
      <c r="A18" s="150"/>
      <c r="B18" s="147"/>
      <c r="C18" s="2"/>
      <c r="D18" s="2"/>
      <c r="E18" s="2"/>
      <c r="F18" s="147"/>
      <c r="G18" s="2"/>
      <c r="H18" s="2"/>
      <c r="I18" s="2"/>
      <c r="J18" s="147"/>
      <c r="K18" s="149"/>
    </row>
    <row r="19" spans="1:11" ht="19.5" thickBot="1" x14ac:dyDescent="0.5">
      <c r="A19" s="149"/>
      <c r="B19" s="147"/>
      <c r="E19" s="2"/>
      <c r="F19" s="147"/>
      <c r="G19" s="2"/>
      <c r="H19" s="2"/>
      <c r="I19" s="2"/>
      <c r="J19" s="152"/>
      <c r="K19" s="153"/>
    </row>
    <row r="20" spans="1:11" ht="19.5" thickBot="1" x14ac:dyDescent="0.5">
      <c r="A20" s="150" t="s">
        <v>33</v>
      </c>
      <c r="B20" s="154">
        <f t="shared" ref="B20:K20" si="3">SUM(B12:B17)</f>
        <v>285707878.46999997</v>
      </c>
      <c r="C20" s="154">
        <f>SUM(C12:C17)</f>
        <v>28680764.220000003</v>
      </c>
      <c r="D20" s="154">
        <f t="shared" si="3"/>
        <v>0</v>
      </c>
      <c r="E20" s="154">
        <f t="shared" si="3"/>
        <v>314388642.69</v>
      </c>
      <c r="F20" s="155">
        <f t="shared" si="3"/>
        <v>48907989.862127297</v>
      </c>
      <c r="G20" s="154">
        <f t="shared" si="3"/>
        <v>15822343.119684279</v>
      </c>
      <c r="H20" s="154">
        <f t="shared" si="3"/>
        <v>0</v>
      </c>
      <c r="I20" s="156">
        <f t="shared" si="3"/>
        <v>64730332.981811583</v>
      </c>
      <c r="J20" s="154">
        <f t="shared" si="3"/>
        <v>249658309.70818838</v>
      </c>
      <c r="K20" s="154">
        <f t="shared" si="3"/>
        <v>237042649.46390808</v>
      </c>
    </row>
    <row r="21" spans="1:11" ht="19.5" hidden="1" thickBot="1" x14ac:dyDescent="0.5">
      <c r="A21" s="150" t="s">
        <v>709</v>
      </c>
      <c r="B21" s="154"/>
      <c r="C21" s="154"/>
      <c r="D21" s="154"/>
      <c r="E21" s="154"/>
      <c r="F21" s="155"/>
      <c r="G21" s="154"/>
      <c r="H21" s="154"/>
      <c r="I21" s="154"/>
      <c r="J21" s="154"/>
      <c r="K21" s="154"/>
    </row>
    <row r="22" spans="1:11" x14ac:dyDescent="0.45">
      <c r="A22" s="150"/>
      <c r="B22" s="147"/>
      <c r="C22" s="2"/>
      <c r="D22" s="2"/>
      <c r="E22" s="2"/>
      <c r="F22" s="2"/>
      <c r="G22" s="2"/>
      <c r="H22" s="2"/>
      <c r="I22" s="148"/>
      <c r="J22" s="149"/>
      <c r="K22" s="149"/>
    </row>
    <row r="23" spans="1:11" x14ac:dyDescent="0.45">
      <c r="A23" s="150" t="s">
        <v>339</v>
      </c>
      <c r="B23" s="147"/>
      <c r="E23" s="2"/>
      <c r="F23" s="147"/>
      <c r="G23" s="2"/>
      <c r="H23" s="2"/>
      <c r="I23" s="148"/>
      <c r="J23" s="149"/>
      <c r="K23" s="149"/>
    </row>
    <row r="24" spans="1:11" x14ac:dyDescent="0.45">
      <c r="A24" s="149"/>
      <c r="B24" s="147"/>
      <c r="E24" s="2"/>
      <c r="F24" s="147"/>
      <c r="G24" s="2"/>
      <c r="H24" s="2"/>
      <c r="I24" s="148"/>
      <c r="J24" s="149"/>
      <c r="K24" s="149"/>
    </row>
    <row r="25" spans="1:11" x14ac:dyDescent="0.45">
      <c r="A25" s="150" t="s">
        <v>306</v>
      </c>
      <c r="B25" s="147">
        <v>962699.35</v>
      </c>
      <c r="C25" s="2"/>
      <c r="D25" s="2"/>
      <c r="E25" s="2">
        <f>B25+C25-D25</f>
        <v>962699.35</v>
      </c>
      <c r="F25" s="147">
        <v>632348.26884417026</v>
      </c>
      <c r="G25" s="2">
        <v>76964.372478999998</v>
      </c>
      <c r="H25" s="2">
        <v>0</v>
      </c>
      <c r="I25" s="148">
        <f>F25+G25-H25</f>
        <v>709312.64132317028</v>
      </c>
      <c r="J25" s="149">
        <f>E25-I25</f>
        <v>253386.7086768297</v>
      </c>
      <c r="K25" s="149">
        <v>330351.08115582971</v>
      </c>
    </row>
    <row r="26" spans="1:11" x14ac:dyDescent="0.45">
      <c r="A26" s="150" t="s">
        <v>307</v>
      </c>
      <c r="B26" s="147">
        <v>204000</v>
      </c>
      <c r="E26" s="2">
        <f>B26+C26-D26</f>
        <v>204000</v>
      </c>
      <c r="F26" s="147">
        <v>193800</v>
      </c>
      <c r="G26" s="2">
        <v>0</v>
      </c>
      <c r="H26" s="2">
        <v>0</v>
      </c>
      <c r="I26" s="148">
        <f>F26+G26-H26</f>
        <v>193800</v>
      </c>
      <c r="J26" s="149">
        <f>E26-I26</f>
        <v>10200</v>
      </c>
      <c r="K26" s="149">
        <f>B26-F26</f>
        <v>10200</v>
      </c>
    </row>
    <row r="27" spans="1:11" ht="19.5" thickBot="1" x14ac:dyDescent="0.5">
      <c r="A27" s="149"/>
      <c r="B27" s="147"/>
      <c r="E27" s="2"/>
      <c r="F27" s="152"/>
      <c r="G27" s="157"/>
      <c r="H27" s="157"/>
      <c r="I27" s="158"/>
      <c r="J27" s="153"/>
      <c r="K27" s="153"/>
    </row>
    <row r="28" spans="1:11" ht="19.5" thickBot="1" x14ac:dyDescent="0.5">
      <c r="A28" s="150" t="s">
        <v>34</v>
      </c>
      <c r="B28" s="159">
        <f>SUM(B25:B27)</f>
        <v>1166699.3500000001</v>
      </c>
      <c r="C28" s="159">
        <v>0</v>
      </c>
      <c r="D28" s="159">
        <f t="shared" ref="D28:K28" si="4">SUM(D25:D27)</f>
        <v>0</v>
      </c>
      <c r="E28" s="159">
        <f t="shared" si="4"/>
        <v>1166699.3500000001</v>
      </c>
      <c r="F28" s="159">
        <f t="shared" si="4"/>
        <v>826148.26884417026</v>
      </c>
      <c r="G28" s="159">
        <f t="shared" si="4"/>
        <v>76964.372478999998</v>
      </c>
      <c r="H28" s="159">
        <f t="shared" si="4"/>
        <v>0</v>
      </c>
      <c r="I28" s="159">
        <f t="shared" si="4"/>
        <v>903112.64132317028</v>
      </c>
      <c r="J28" s="159">
        <f t="shared" si="4"/>
        <v>263586.7086768297</v>
      </c>
      <c r="K28" s="154">
        <f t="shared" si="4"/>
        <v>340551.08115582971</v>
      </c>
    </row>
    <row r="29" spans="1:11" ht="19.5" hidden="1" thickBot="1" x14ac:dyDescent="0.5">
      <c r="A29" s="150" t="s">
        <v>709</v>
      </c>
      <c r="B29" s="154"/>
      <c r="C29" s="154"/>
      <c r="D29" s="154"/>
      <c r="E29" s="154"/>
      <c r="F29" s="155"/>
      <c r="G29" s="154"/>
      <c r="H29" s="154"/>
      <c r="I29" s="154"/>
      <c r="J29" s="154"/>
      <c r="K29" s="154"/>
    </row>
    <row r="30" spans="1:11" x14ac:dyDescent="0.45">
      <c r="A30" s="149"/>
      <c r="B30" s="147"/>
      <c r="C30" s="2"/>
      <c r="D30" s="2"/>
      <c r="E30" s="2"/>
      <c r="F30" s="160"/>
      <c r="G30" s="161"/>
      <c r="H30" s="161"/>
      <c r="I30" s="162"/>
      <c r="J30" s="2"/>
      <c r="K30" s="149"/>
    </row>
    <row r="31" spans="1:11" x14ac:dyDescent="0.45">
      <c r="A31" s="150" t="s">
        <v>812</v>
      </c>
      <c r="B31" s="147">
        <v>5389290</v>
      </c>
      <c r="C31" s="2"/>
      <c r="D31" s="2">
        <v>0</v>
      </c>
      <c r="E31" s="2">
        <f>B31+C31-D31</f>
        <v>5389290</v>
      </c>
      <c r="F31" s="147">
        <v>0</v>
      </c>
      <c r="G31" s="2">
        <v>0</v>
      </c>
      <c r="H31" s="2">
        <v>0</v>
      </c>
      <c r="I31" s="148">
        <v>0</v>
      </c>
      <c r="J31" s="2">
        <f>+E31-I31</f>
        <v>5389290</v>
      </c>
      <c r="K31" s="149">
        <f>+B31-F31</f>
        <v>5389290</v>
      </c>
    </row>
    <row r="32" spans="1:11" ht="19.5" thickBot="1" x14ac:dyDescent="0.5">
      <c r="A32" s="149"/>
      <c r="B32" s="147"/>
      <c r="C32" s="2"/>
      <c r="D32" s="2"/>
      <c r="E32" s="2"/>
      <c r="F32" s="152"/>
      <c r="G32" s="157"/>
      <c r="H32" s="157"/>
      <c r="I32" s="158"/>
      <c r="J32" s="2"/>
      <c r="K32" s="149"/>
    </row>
    <row r="33" spans="1:11" ht="19.5" thickBot="1" x14ac:dyDescent="0.5">
      <c r="A33" s="150" t="s">
        <v>340</v>
      </c>
      <c r="B33" s="159">
        <f>B31</f>
        <v>5389290</v>
      </c>
      <c r="C33" s="159">
        <f t="shared" ref="C33:K33" si="5">C31</f>
        <v>0</v>
      </c>
      <c r="D33" s="159">
        <f t="shared" si="5"/>
        <v>0</v>
      </c>
      <c r="E33" s="159">
        <f t="shared" si="5"/>
        <v>5389290</v>
      </c>
      <c r="F33" s="159">
        <f t="shared" si="5"/>
        <v>0</v>
      </c>
      <c r="G33" s="159">
        <f t="shared" si="5"/>
        <v>0</v>
      </c>
      <c r="H33" s="159">
        <f t="shared" si="5"/>
        <v>0</v>
      </c>
      <c r="I33" s="159">
        <f t="shared" si="5"/>
        <v>0</v>
      </c>
      <c r="J33" s="159">
        <f t="shared" si="5"/>
        <v>5389290</v>
      </c>
      <c r="K33" s="154">
        <f t="shared" si="5"/>
        <v>5389290</v>
      </c>
    </row>
    <row r="34" spans="1:11" ht="19.5" hidden="1" thickBot="1" x14ac:dyDescent="0.5">
      <c r="A34" s="150" t="s">
        <v>709</v>
      </c>
      <c r="B34" s="154"/>
      <c r="C34" s="154"/>
      <c r="D34" s="154"/>
      <c r="E34" s="154"/>
      <c r="F34" s="155"/>
      <c r="G34" s="154"/>
      <c r="H34" s="154"/>
      <c r="I34" s="154"/>
      <c r="J34" s="154"/>
      <c r="K34" s="154"/>
    </row>
    <row r="35" spans="1:11" ht="19.5" thickBot="1" x14ac:dyDescent="0.5">
      <c r="A35" s="150"/>
      <c r="B35" s="147"/>
      <c r="C35" s="2"/>
      <c r="D35" s="2"/>
      <c r="E35" s="2"/>
      <c r="F35" s="152"/>
      <c r="G35" s="157"/>
      <c r="H35" s="157"/>
      <c r="I35" s="158"/>
      <c r="J35" s="2"/>
      <c r="K35" s="149"/>
    </row>
    <row r="36" spans="1:11" ht="19.5" thickBot="1" x14ac:dyDescent="0.5">
      <c r="A36" s="324" t="s">
        <v>730</v>
      </c>
      <c r="B36" s="163">
        <f>B20+B28+B33</f>
        <v>292263867.81999999</v>
      </c>
      <c r="C36" s="163">
        <f t="shared" ref="C36:K36" si="6">C20+C28+C33</f>
        <v>28680764.220000003</v>
      </c>
      <c r="D36" s="163">
        <f t="shared" si="6"/>
        <v>0</v>
      </c>
      <c r="E36" s="163">
        <f t="shared" si="6"/>
        <v>320944632.04000002</v>
      </c>
      <c r="F36" s="163">
        <f t="shared" si="6"/>
        <v>49734138.130971469</v>
      </c>
      <c r="G36" s="163">
        <f t="shared" si="6"/>
        <v>15899307.492163278</v>
      </c>
      <c r="H36" s="163">
        <f t="shared" si="6"/>
        <v>0</v>
      </c>
      <c r="I36" s="163">
        <f t="shared" si="6"/>
        <v>65633445.623134755</v>
      </c>
      <c r="J36" s="163">
        <f t="shared" si="6"/>
        <v>255311186.4168652</v>
      </c>
      <c r="K36" s="163">
        <f t="shared" si="6"/>
        <v>242772490.54506391</v>
      </c>
    </row>
    <row r="37" spans="1:11" s="128" customFormat="1" ht="19.5" hidden="1" thickBot="1" x14ac:dyDescent="0.5">
      <c r="A37" s="163" t="s">
        <v>709</v>
      </c>
      <c r="B37" s="163"/>
      <c r="C37" s="163"/>
      <c r="D37" s="163"/>
      <c r="E37" s="163"/>
      <c r="F37" s="163"/>
      <c r="G37" s="163"/>
      <c r="H37" s="163"/>
      <c r="I37" s="163"/>
      <c r="J37" s="163"/>
      <c r="K37" s="163"/>
    </row>
    <row r="38" spans="1:11" x14ac:dyDescent="0.45">
      <c r="B38" s="129">
        <v>30991</v>
      </c>
    </row>
    <row r="39" spans="1:11" x14ac:dyDescent="0.45">
      <c r="A39" s="129" t="s">
        <v>731</v>
      </c>
    </row>
    <row r="40" spans="1:11" x14ac:dyDescent="0.45">
      <c r="A40" s="129" t="s">
        <v>732</v>
      </c>
    </row>
    <row r="41" spans="1:11" x14ac:dyDescent="0.45">
      <c r="A41" s="129" t="s">
        <v>807</v>
      </c>
    </row>
    <row r="44" spans="1:11" x14ac:dyDescent="0.45">
      <c r="G44" s="129">
        <f>+G36-'BS PnL'!F102</f>
        <v>15899307.492163278</v>
      </c>
      <c r="J44" s="129">
        <f>+J36-'BS PnL'!F38-'BS PnL'!F39</f>
        <v>-1.4668330550193787E-8</v>
      </c>
    </row>
    <row r="45" spans="1:11" x14ac:dyDescent="0.45">
      <c r="J45" s="129">
        <v>63280390.274655201</v>
      </c>
    </row>
  </sheetData>
  <mergeCells count="9">
    <mergeCell ref="A1:K1"/>
    <mergeCell ref="B6:E6"/>
    <mergeCell ref="F6:I6"/>
    <mergeCell ref="J6:K6"/>
    <mergeCell ref="C7:C8"/>
    <mergeCell ref="D7:D8"/>
    <mergeCell ref="H7:H8"/>
    <mergeCell ref="I7:I8"/>
    <mergeCell ref="A6:A8"/>
  </mergeCells>
  <pageMargins left="0.31496062992125984" right="0.31496062992125984" top="0.35433070866141736" bottom="0.35433070866141736" header="0.31496062992125984" footer="0.31496062992125984"/>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64F4-AE8B-49D0-A241-0C4CA6230A6F}">
  <sheetPr>
    <tabColor rgb="FF92D050"/>
  </sheetPr>
  <dimension ref="A2:J28"/>
  <sheetViews>
    <sheetView view="pageBreakPreview" topLeftCell="B23" zoomScale="85" zoomScaleNormal="100" zoomScaleSheetLayoutView="85" workbookViewId="0">
      <selection activeCell="B26" sqref="B26"/>
    </sheetView>
  </sheetViews>
  <sheetFormatPr defaultRowHeight="19" x14ac:dyDescent="0.45"/>
  <cols>
    <col min="1" max="1" width="0.453125" style="129" hidden="1" customWidth="1"/>
    <col min="2" max="2" width="57" style="129" bestFit="1" customWidth="1"/>
    <col min="3" max="3" width="21.26953125" style="129" customWidth="1"/>
    <col min="4" max="4" width="19" style="129" customWidth="1"/>
    <col min="5" max="5" width="21" style="129" bestFit="1" customWidth="1"/>
    <col min="6" max="6" width="18.26953125" style="129" bestFit="1" customWidth="1"/>
    <col min="7" max="7" width="15.7265625" style="129" bestFit="1" customWidth="1"/>
    <col min="8" max="8" width="12.453125" style="129" bestFit="1" customWidth="1"/>
    <col min="9" max="9" width="9.54296875" style="129" bestFit="1" customWidth="1"/>
    <col min="10" max="10" width="12.453125" style="129" bestFit="1" customWidth="1"/>
    <col min="11" max="12" width="10.54296875" style="129" bestFit="1" customWidth="1"/>
    <col min="13" max="250" width="8.81640625" style="129"/>
    <col min="251" max="251" width="28.453125" style="129" customWidth="1"/>
    <col min="252" max="252" width="13.54296875" style="129" customWidth="1"/>
    <col min="253" max="253" width="11.453125" style="129" bestFit="1" customWidth="1"/>
    <col min="254" max="254" width="13.54296875" style="129" customWidth="1"/>
    <col min="255" max="255" width="14.1796875" style="129" customWidth="1"/>
    <col min="256" max="256" width="12.54296875" style="129" customWidth="1"/>
    <col min="257" max="257" width="6.54296875" style="129" customWidth="1"/>
    <col min="258" max="258" width="13.54296875" style="129" bestFit="1" customWidth="1"/>
    <col min="259" max="260" width="11.453125" style="129" bestFit="1" customWidth="1"/>
    <col min="261" max="261" width="15.54296875" style="129" customWidth="1"/>
    <col min="262" max="506" width="8.81640625" style="129"/>
    <col min="507" max="507" width="28.453125" style="129" customWidth="1"/>
    <col min="508" max="508" width="13.54296875" style="129" customWidth="1"/>
    <col min="509" max="509" width="11.453125" style="129" bestFit="1" customWidth="1"/>
    <col min="510" max="510" width="13.54296875" style="129" customWidth="1"/>
    <col min="511" max="511" width="14.1796875" style="129" customWidth="1"/>
    <col min="512" max="512" width="12.54296875" style="129" customWidth="1"/>
    <col min="513" max="513" width="6.54296875" style="129" customWidth="1"/>
    <col min="514" max="514" width="13.54296875" style="129" bestFit="1" customWidth="1"/>
    <col min="515" max="516" width="11.453125" style="129" bestFit="1" customWidth="1"/>
    <col min="517" max="517" width="15.54296875" style="129" customWidth="1"/>
    <col min="518" max="762" width="8.81640625" style="129"/>
    <col min="763" max="763" width="28.453125" style="129" customWidth="1"/>
    <col min="764" max="764" width="13.54296875" style="129" customWidth="1"/>
    <col min="765" max="765" width="11.453125" style="129" bestFit="1" customWidth="1"/>
    <col min="766" max="766" width="13.54296875" style="129" customWidth="1"/>
    <col min="767" max="767" width="14.1796875" style="129" customWidth="1"/>
    <col min="768" max="768" width="12.54296875" style="129" customWidth="1"/>
    <col min="769" max="769" width="6.54296875" style="129" customWidth="1"/>
    <col min="770" max="770" width="13.54296875" style="129" bestFit="1" customWidth="1"/>
    <col min="771" max="772" width="11.453125" style="129" bestFit="1" customWidth="1"/>
    <col min="773" max="773" width="15.54296875" style="129" customWidth="1"/>
    <col min="774" max="1018" width="8.81640625" style="129"/>
    <col min="1019" max="1019" width="28.453125" style="129" customWidth="1"/>
    <col min="1020" max="1020" width="13.54296875" style="129" customWidth="1"/>
    <col min="1021" max="1021" width="11.453125" style="129" bestFit="1" customWidth="1"/>
    <col min="1022" max="1022" width="13.54296875" style="129" customWidth="1"/>
    <col min="1023" max="1023" width="14.1796875" style="129" customWidth="1"/>
    <col min="1024" max="1024" width="12.54296875" style="129" customWidth="1"/>
    <col min="1025" max="1025" width="6.54296875" style="129" customWidth="1"/>
    <col min="1026" max="1026" width="13.54296875" style="129" bestFit="1" customWidth="1"/>
    <col min="1027" max="1028" width="11.453125" style="129" bestFit="1" customWidth="1"/>
    <col min="1029" max="1029" width="15.54296875" style="129" customWidth="1"/>
    <col min="1030" max="1274" width="8.81640625" style="129"/>
    <col min="1275" max="1275" width="28.453125" style="129" customWidth="1"/>
    <col min="1276" max="1276" width="13.54296875" style="129" customWidth="1"/>
    <col min="1277" max="1277" width="11.453125" style="129" bestFit="1" customWidth="1"/>
    <col min="1278" max="1278" width="13.54296875" style="129" customWidth="1"/>
    <col min="1279" max="1279" width="14.1796875" style="129" customWidth="1"/>
    <col min="1280" max="1280" width="12.54296875" style="129" customWidth="1"/>
    <col min="1281" max="1281" width="6.54296875" style="129" customWidth="1"/>
    <col min="1282" max="1282" width="13.54296875" style="129" bestFit="1" customWidth="1"/>
    <col min="1283" max="1284" width="11.453125" style="129" bestFit="1" customWidth="1"/>
    <col min="1285" max="1285" width="15.54296875" style="129" customWidth="1"/>
    <col min="1286" max="1530" width="8.81640625" style="129"/>
    <col min="1531" max="1531" width="28.453125" style="129" customWidth="1"/>
    <col min="1532" max="1532" width="13.54296875" style="129" customWidth="1"/>
    <col min="1533" max="1533" width="11.453125" style="129" bestFit="1" customWidth="1"/>
    <col min="1534" max="1534" width="13.54296875" style="129" customWidth="1"/>
    <col min="1535" max="1535" width="14.1796875" style="129" customWidth="1"/>
    <col min="1536" max="1536" width="12.54296875" style="129" customWidth="1"/>
    <col min="1537" max="1537" width="6.54296875" style="129" customWidth="1"/>
    <col min="1538" max="1538" width="13.54296875" style="129" bestFit="1" customWidth="1"/>
    <col min="1539" max="1540" width="11.453125" style="129" bestFit="1" customWidth="1"/>
    <col min="1541" max="1541" width="15.54296875" style="129" customWidth="1"/>
    <col min="1542" max="1786" width="8.81640625" style="129"/>
    <col min="1787" max="1787" width="28.453125" style="129" customWidth="1"/>
    <col min="1788" max="1788" width="13.54296875" style="129" customWidth="1"/>
    <col min="1789" max="1789" width="11.453125" style="129" bestFit="1" customWidth="1"/>
    <col min="1790" max="1790" width="13.54296875" style="129" customWidth="1"/>
    <col min="1791" max="1791" width="14.1796875" style="129" customWidth="1"/>
    <col min="1792" max="1792" width="12.54296875" style="129" customWidth="1"/>
    <col min="1793" max="1793" width="6.54296875" style="129" customWidth="1"/>
    <col min="1794" max="1794" width="13.54296875" style="129" bestFit="1" customWidth="1"/>
    <col min="1795" max="1796" width="11.453125" style="129" bestFit="1" customWidth="1"/>
    <col min="1797" max="1797" width="15.54296875" style="129" customWidth="1"/>
    <col min="1798" max="2042" width="8.81640625" style="129"/>
    <col min="2043" max="2043" width="28.453125" style="129" customWidth="1"/>
    <col min="2044" max="2044" width="13.54296875" style="129" customWidth="1"/>
    <col min="2045" max="2045" width="11.453125" style="129" bestFit="1" customWidth="1"/>
    <col min="2046" max="2046" width="13.54296875" style="129" customWidth="1"/>
    <col min="2047" max="2047" width="14.1796875" style="129" customWidth="1"/>
    <col min="2048" max="2048" width="12.54296875" style="129" customWidth="1"/>
    <col min="2049" max="2049" width="6.54296875" style="129" customWidth="1"/>
    <col min="2050" max="2050" width="13.54296875" style="129" bestFit="1" customWidth="1"/>
    <col min="2051" max="2052" width="11.453125" style="129" bestFit="1" customWidth="1"/>
    <col min="2053" max="2053" width="15.54296875" style="129" customWidth="1"/>
    <col min="2054" max="2298" width="8.81640625" style="129"/>
    <col min="2299" max="2299" width="28.453125" style="129" customWidth="1"/>
    <col min="2300" max="2300" width="13.54296875" style="129" customWidth="1"/>
    <col min="2301" max="2301" width="11.453125" style="129" bestFit="1" customWidth="1"/>
    <col min="2302" max="2302" width="13.54296875" style="129" customWidth="1"/>
    <col min="2303" max="2303" width="14.1796875" style="129" customWidth="1"/>
    <col min="2304" max="2304" width="12.54296875" style="129" customWidth="1"/>
    <col min="2305" max="2305" width="6.54296875" style="129" customWidth="1"/>
    <col min="2306" max="2306" width="13.54296875" style="129" bestFit="1" customWidth="1"/>
    <col min="2307" max="2308" width="11.453125" style="129" bestFit="1" customWidth="1"/>
    <col min="2309" max="2309" width="15.54296875" style="129" customWidth="1"/>
    <col min="2310" max="2554" width="8.81640625" style="129"/>
    <col min="2555" max="2555" width="28.453125" style="129" customWidth="1"/>
    <col min="2556" max="2556" width="13.54296875" style="129" customWidth="1"/>
    <col min="2557" max="2557" width="11.453125" style="129" bestFit="1" customWidth="1"/>
    <col min="2558" max="2558" width="13.54296875" style="129" customWidth="1"/>
    <col min="2559" max="2559" width="14.1796875" style="129" customWidth="1"/>
    <col min="2560" max="2560" width="12.54296875" style="129" customWidth="1"/>
    <col min="2561" max="2561" width="6.54296875" style="129" customWidth="1"/>
    <col min="2562" max="2562" width="13.54296875" style="129" bestFit="1" customWidth="1"/>
    <col min="2563" max="2564" width="11.453125" style="129" bestFit="1" customWidth="1"/>
    <col min="2565" max="2565" width="15.54296875" style="129" customWidth="1"/>
    <col min="2566" max="2810" width="8.81640625" style="129"/>
    <col min="2811" max="2811" width="28.453125" style="129" customWidth="1"/>
    <col min="2812" max="2812" width="13.54296875" style="129" customWidth="1"/>
    <col min="2813" max="2813" width="11.453125" style="129" bestFit="1" customWidth="1"/>
    <col min="2814" max="2814" width="13.54296875" style="129" customWidth="1"/>
    <col min="2815" max="2815" width="14.1796875" style="129" customWidth="1"/>
    <col min="2816" max="2816" width="12.54296875" style="129" customWidth="1"/>
    <col min="2817" max="2817" width="6.54296875" style="129" customWidth="1"/>
    <col min="2818" max="2818" width="13.54296875" style="129" bestFit="1" customWidth="1"/>
    <col min="2819" max="2820" width="11.453125" style="129" bestFit="1" customWidth="1"/>
    <col min="2821" max="2821" width="15.54296875" style="129" customWidth="1"/>
    <col min="2822" max="3066" width="8.81640625" style="129"/>
    <col min="3067" max="3067" width="28.453125" style="129" customWidth="1"/>
    <col min="3068" max="3068" width="13.54296875" style="129" customWidth="1"/>
    <col min="3069" max="3069" width="11.453125" style="129" bestFit="1" customWidth="1"/>
    <col min="3070" max="3070" width="13.54296875" style="129" customWidth="1"/>
    <col min="3071" max="3071" width="14.1796875" style="129" customWidth="1"/>
    <col min="3072" max="3072" width="12.54296875" style="129" customWidth="1"/>
    <col min="3073" max="3073" width="6.54296875" style="129" customWidth="1"/>
    <col min="3074" max="3074" width="13.54296875" style="129" bestFit="1" customWidth="1"/>
    <col min="3075" max="3076" width="11.453125" style="129" bestFit="1" customWidth="1"/>
    <col min="3077" max="3077" width="15.54296875" style="129" customWidth="1"/>
    <col min="3078" max="3322" width="8.81640625" style="129"/>
    <col min="3323" max="3323" width="28.453125" style="129" customWidth="1"/>
    <col min="3324" max="3324" width="13.54296875" style="129" customWidth="1"/>
    <col min="3325" max="3325" width="11.453125" style="129" bestFit="1" customWidth="1"/>
    <col min="3326" max="3326" width="13.54296875" style="129" customWidth="1"/>
    <col min="3327" max="3327" width="14.1796875" style="129" customWidth="1"/>
    <col min="3328" max="3328" width="12.54296875" style="129" customWidth="1"/>
    <col min="3329" max="3329" width="6.54296875" style="129" customWidth="1"/>
    <col min="3330" max="3330" width="13.54296875" style="129" bestFit="1" customWidth="1"/>
    <col min="3331" max="3332" width="11.453125" style="129" bestFit="1" customWidth="1"/>
    <col min="3333" max="3333" width="15.54296875" style="129" customWidth="1"/>
    <col min="3334" max="3578" width="8.81640625" style="129"/>
    <col min="3579" max="3579" width="28.453125" style="129" customWidth="1"/>
    <col min="3580" max="3580" width="13.54296875" style="129" customWidth="1"/>
    <col min="3581" max="3581" width="11.453125" style="129" bestFit="1" customWidth="1"/>
    <col min="3582" max="3582" width="13.54296875" style="129" customWidth="1"/>
    <col min="3583" max="3583" width="14.1796875" style="129" customWidth="1"/>
    <col min="3584" max="3584" width="12.54296875" style="129" customWidth="1"/>
    <col min="3585" max="3585" width="6.54296875" style="129" customWidth="1"/>
    <col min="3586" max="3586" width="13.54296875" style="129" bestFit="1" customWidth="1"/>
    <col min="3587" max="3588" width="11.453125" style="129" bestFit="1" customWidth="1"/>
    <col min="3589" max="3589" width="15.54296875" style="129" customWidth="1"/>
    <col min="3590" max="3834" width="8.81640625" style="129"/>
    <col min="3835" max="3835" width="28.453125" style="129" customWidth="1"/>
    <col min="3836" max="3836" width="13.54296875" style="129" customWidth="1"/>
    <col min="3837" max="3837" width="11.453125" style="129" bestFit="1" customWidth="1"/>
    <col min="3838" max="3838" width="13.54296875" style="129" customWidth="1"/>
    <col min="3839" max="3839" width="14.1796875" style="129" customWidth="1"/>
    <col min="3840" max="3840" width="12.54296875" style="129" customWidth="1"/>
    <col min="3841" max="3841" width="6.54296875" style="129" customWidth="1"/>
    <col min="3842" max="3842" width="13.54296875" style="129" bestFit="1" customWidth="1"/>
    <col min="3843" max="3844" width="11.453125" style="129" bestFit="1" customWidth="1"/>
    <col min="3845" max="3845" width="15.54296875" style="129" customWidth="1"/>
    <col min="3846" max="4090" width="8.81640625" style="129"/>
    <col min="4091" max="4091" width="28.453125" style="129" customWidth="1"/>
    <col min="4092" max="4092" width="13.54296875" style="129" customWidth="1"/>
    <col min="4093" max="4093" width="11.453125" style="129" bestFit="1" customWidth="1"/>
    <col min="4094" max="4094" width="13.54296875" style="129" customWidth="1"/>
    <col min="4095" max="4095" width="14.1796875" style="129" customWidth="1"/>
    <col min="4096" max="4096" width="12.54296875" style="129" customWidth="1"/>
    <col min="4097" max="4097" width="6.54296875" style="129" customWidth="1"/>
    <col min="4098" max="4098" width="13.54296875" style="129" bestFit="1" customWidth="1"/>
    <col min="4099" max="4100" width="11.453125" style="129" bestFit="1" customWidth="1"/>
    <col min="4101" max="4101" width="15.54296875" style="129" customWidth="1"/>
    <col min="4102" max="4346" width="8.81640625" style="129"/>
    <col min="4347" max="4347" width="28.453125" style="129" customWidth="1"/>
    <col min="4348" max="4348" width="13.54296875" style="129" customWidth="1"/>
    <col min="4349" max="4349" width="11.453125" style="129" bestFit="1" customWidth="1"/>
    <col min="4350" max="4350" width="13.54296875" style="129" customWidth="1"/>
    <col min="4351" max="4351" width="14.1796875" style="129" customWidth="1"/>
    <col min="4352" max="4352" width="12.54296875" style="129" customWidth="1"/>
    <col min="4353" max="4353" width="6.54296875" style="129" customWidth="1"/>
    <col min="4354" max="4354" width="13.54296875" style="129" bestFit="1" customWidth="1"/>
    <col min="4355" max="4356" width="11.453125" style="129" bestFit="1" customWidth="1"/>
    <col min="4357" max="4357" width="15.54296875" style="129" customWidth="1"/>
    <col min="4358" max="4602" width="8.81640625" style="129"/>
    <col min="4603" max="4603" width="28.453125" style="129" customWidth="1"/>
    <col min="4604" max="4604" width="13.54296875" style="129" customWidth="1"/>
    <col min="4605" max="4605" width="11.453125" style="129" bestFit="1" customWidth="1"/>
    <col min="4606" max="4606" width="13.54296875" style="129" customWidth="1"/>
    <col min="4607" max="4607" width="14.1796875" style="129" customWidth="1"/>
    <col min="4608" max="4608" width="12.54296875" style="129" customWidth="1"/>
    <col min="4609" max="4609" width="6.54296875" style="129" customWidth="1"/>
    <col min="4610" max="4610" width="13.54296875" style="129" bestFit="1" customWidth="1"/>
    <col min="4611" max="4612" width="11.453125" style="129" bestFit="1" customWidth="1"/>
    <col min="4613" max="4613" width="15.54296875" style="129" customWidth="1"/>
    <col min="4614" max="4858" width="8.81640625" style="129"/>
    <col min="4859" max="4859" width="28.453125" style="129" customWidth="1"/>
    <col min="4860" max="4860" width="13.54296875" style="129" customWidth="1"/>
    <col min="4861" max="4861" width="11.453125" style="129" bestFit="1" customWidth="1"/>
    <col min="4862" max="4862" width="13.54296875" style="129" customWidth="1"/>
    <col min="4863" max="4863" width="14.1796875" style="129" customWidth="1"/>
    <col min="4864" max="4864" width="12.54296875" style="129" customWidth="1"/>
    <col min="4865" max="4865" width="6.54296875" style="129" customWidth="1"/>
    <col min="4866" max="4866" width="13.54296875" style="129" bestFit="1" customWidth="1"/>
    <col min="4867" max="4868" width="11.453125" style="129" bestFit="1" customWidth="1"/>
    <col min="4869" max="4869" width="15.54296875" style="129" customWidth="1"/>
    <col min="4870" max="5114" width="8.81640625" style="129"/>
    <col min="5115" max="5115" width="28.453125" style="129" customWidth="1"/>
    <col min="5116" max="5116" width="13.54296875" style="129" customWidth="1"/>
    <col min="5117" max="5117" width="11.453125" style="129" bestFit="1" customWidth="1"/>
    <col min="5118" max="5118" width="13.54296875" style="129" customWidth="1"/>
    <col min="5119" max="5119" width="14.1796875" style="129" customWidth="1"/>
    <col min="5120" max="5120" width="12.54296875" style="129" customWidth="1"/>
    <col min="5121" max="5121" width="6.54296875" style="129" customWidth="1"/>
    <col min="5122" max="5122" width="13.54296875" style="129" bestFit="1" customWidth="1"/>
    <col min="5123" max="5124" width="11.453125" style="129" bestFit="1" customWidth="1"/>
    <col min="5125" max="5125" width="15.54296875" style="129" customWidth="1"/>
    <col min="5126" max="5370" width="8.81640625" style="129"/>
    <col min="5371" max="5371" width="28.453125" style="129" customWidth="1"/>
    <col min="5372" max="5372" width="13.54296875" style="129" customWidth="1"/>
    <col min="5373" max="5373" width="11.453125" style="129" bestFit="1" customWidth="1"/>
    <col min="5374" max="5374" width="13.54296875" style="129" customWidth="1"/>
    <col min="5375" max="5375" width="14.1796875" style="129" customWidth="1"/>
    <col min="5376" max="5376" width="12.54296875" style="129" customWidth="1"/>
    <col min="5377" max="5377" width="6.54296875" style="129" customWidth="1"/>
    <col min="5378" max="5378" width="13.54296875" style="129" bestFit="1" customWidth="1"/>
    <col min="5379" max="5380" width="11.453125" style="129" bestFit="1" customWidth="1"/>
    <col min="5381" max="5381" width="15.54296875" style="129" customWidth="1"/>
    <col min="5382" max="5626" width="8.81640625" style="129"/>
    <col min="5627" max="5627" width="28.453125" style="129" customWidth="1"/>
    <col min="5628" max="5628" width="13.54296875" style="129" customWidth="1"/>
    <col min="5629" max="5629" width="11.453125" style="129" bestFit="1" customWidth="1"/>
    <col min="5630" max="5630" width="13.54296875" style="129" customWidth="1"/>
    <col min="5631" max="5631" width="14.1796875" style="129" customWidth="1"/>
    <col min="5632" max="5632" width="12.54296875" style="129" customWidth="1"/>
    <col min="5633" max="5633" width="6.54296875" style="129" customWidth="1"/>
    <col min="5634" max="5634" width="13.54296875" style="129" bestFit="1" customWidth="1"/>
    <col min="5635" max="5636" width="11.453125" style="129" bestFit="1" customWidth="1"/>
    <col min="5637" max="5637" width="15.54296875" style="129" customWidth="1"/>
    <col min="5638" max="5882" width="8.81640625" style="129"/>
    <col min="5883" max="5883" width="28.453125" style="129" customWidth="1"/>
    <col min="5884" max="5884" width="13.54296875" style="129" customWidth="1"/>
    <col min="5885" max="5885" width="11.453125" style="129" bestFit="1" customWidth="1"/>
    <col min="5886" max="5886" width="13.54296875" style="129" customWidth="1"/>
    <col min="5887" max="5887" width="14.1796875" style="129" customWidth="1"/>
    <col min="5888" max="5888" width="12.54296875" style="129" customWidth="1"/>
    <col min="5889" max="5889" width="6.54296875" style="129" customWidth="1"/>
    <col min="5890" max="5890" width="13.54296875" style="129" bestFit="1" customWidth="1"/>
    <col min="5891" max="5892" width="11.453125" style="129" bestFit="1" customWidth="1"/>
    <col min="5893" max="5893" width="15.54296875" style="129" customWidth="1"/>
    <col min="5894" max="6138" width="8.81640625" style="129"/>
    <col min="6139" max="6139" width="28.453125" style="129" customWidth="1"/>
    <col min="6140" max="6140" width="13.54296875" style="129" customWidth="1"/>
    <col min="6141" max="6141" width="11.453125" style="129" bestFit="1" customWidth="1"/>
    <col min="6142" max="6142" width="13.54296875" style="129" customWidth="1"/>
    <col min="6143" max="6143" width="14.1796875" style="129" customWidth="1"/>
    <col min="6144" max="6144" width="12.54296875" style="129" customWidth="1"/>
    <col min="6145" max="6145" width="6.54296875" style="129" customWidth="1"/>
    <col min="6146" max="6146" width="13.54296875" style="129" bestFit="1" customWidth="1"/>
    <col min="6147" max="6148" width="11.453125" style="129" bestFit="1" customWidth="1"/>
    <col min="6149" max="6149" width="15.54296875" style="129" customWidth="1"/>
    <col min="6150" max="6394" width="8.81640625" style="129"/>
    <col min="6395" max="6395" width="28.453125" style="129" customWidth="1"/>
    <col min="6396" max="6396" width="13.54296875" style="129" customWidth="1"/>
    <col min="6397" max="6397" width="11.453125" style="129" bestFit="1" customWidth="1"/>
    <col min="6398" max="6398" width="13.54296875" style="129" customWidth="1"/>
    <col min="6399" max="6399" width="14.1796875" style="129" customWidth="1"/>
    <col min="6400" max="6400" width="12.54296875" style="129" customWidth="1"/>
    <col min="6401" max="6401" width="6.54296875" style="129" customWidth="1"/>
    <col min="6402" max="6402" width="13.54296875" style="129" bestFit="1" customWidth="1"/>
    <col min="6403" max="6404" width="11.453125" style="129" bestFit="1" customWidth="1"/>
    <col min="6405" max="6405" width="15.54296875" style="129" customWidth="1"/>
    <col min="6406" max="6650" width="8.81640625" style="129"/>
    <col min="6651" max="6651" width="28.453125" style="129" customWidth="1"/>
    <col min="6652" max="6652" width="13.54296875" style="129" customWidth="1"/>
    <col min="6653" max="6653" width="11.453125" style="129" bestFit="1" customWidth="1"/>
    <col min="6654" max="6654" width="13.54296875" style="129" customWidth="1"/>
    <col min="6655" max="6655" width="14.1796875" style="129" customWidth="1"/>
    <col min="6656" max="6656" width="12.54296875" style="129" customWidth="1"/>
    <col min="6657" max="6657" width="6.54296875" style="129" customWidth="1"/>
    <col min="6658" max="6658" width="13.54296875" style="129" bestFit="1" customWidth="1"/>
    <col min="6659" max="6660" width="11.453125" style="129" bestFit="1" customWidth="1"/>
    <col min="6661" max="6661" width="15.54296875" style="129" customWidth="1"/>
    <col min="6662" max="6906" width="8.81640625" style="129"/>
    <col min="6907" max="6907" width="28.453125" style="129" customWidth="1"/>
    <col min="6908" max="6908" width="13.54296875" style="129" customWidth="1"/>
    <col min="6909" max="6909" width="11.453125" style="129" bestFit="1" customWidth="1"/>
    <col min="6910" max="6910" width="13.54296875" style="129" customWidth="1"/>
    <col min="6911" max="6911" width="14.1796875" style="129" customWidth="1"/>
    <col min="6912" max="6912" width="12.54296875" style="129" customWidth="1"/>
    <col min="6913" max="6913" width="6.54296875" style="129" customWidth="1"/>
    <col min="6914" max="6914" width="13.54296875" style="129" bestFit="1" customWidth="1"/>
    <col min="6915" max="6916" width="11.453125" style="129" bestFit="1" customWidth="1"/>
    <col min="6917" max="6917" width="15.54296875" style="129" customWidth="1"/>
    <col min="6918" max="7162" width="8.81640625" style="129"/>
    <col min="7163" max="7163" width="28.453125" style="129" customWidth="1"/>
    <col min="7164" max="7164" width="13.54296875" style="129" customWidth="1"/>
    <col min="7165" max="7165" width="11.453125" style="129" bestFit="1" customWidth="1"/>
    <col min="7166" max="7166" width="13.54296875" style="129" customWidth="1"/>
    <col min="7167" max="7167" width="14.1796875" style="129" customWidth="1"/>
    <col min="7168" max="7168" width="12.54296875" style="129" customWidth="1"/>
    <col min="7169" max="7169" width="6.54296875" style="129" customWidth="1"/>
    <col min="7170" max="7170" width="13.54296875" style="129" bestFit="1" customWidth="1"/>
    <col min="7171" max="7172" width="11.453125" style="129" bestFit="1" customWidth="1"/>
    <col min="7173" max="7173" width="15.54296875" style="129" customWidth="1"/>
    <col min="7174" max="7418" width="8.81640625" style="129"/>
    <col min="7419" max="7419" width="28.453125" style="129" customWidth="1"/>
    <col min="7420" max="7420" width="13.54296875" style="129" customWidth="1"/>
    <col min="7421" max="7421" width="11.453125" style="129" bestFit="1" customWidth="1"/>
    <col min="7422" max="7422" width="13.54296875" style="129" customWidth="1"/>
    <col min="7423" max="7423" width="14.1796875" style="129" customWidth="1"/>
    <col min="7424" max="7424" width="12.54296875" style="129" customWidth="1"/>
    <col min="7425" max="7425" width="6.54296875" style="129" customWidth="1"/>
    <col min="7426" max="7426" width="13.54296875" style="129" bestFit="1" customWidth="1"/>
    <col min="7427" max="7428" width="11.453125" style="129" bestFit="1" customWidth="1"/>
    <col min="7429" max="7429" width="15.54296875" style="129" customWidth="1"/>
    <col min="7430" max="7674" width="8.81640625" style="129"/>
    <col min="7675" max="7675" width="28.453125" style="129" customWidth="1"/>
    <col min="7676" max="7676" width="13.54296875" style="129" customWidth="1"/>
    <col min="7677" max="7677" width="11.453125" style="129" bestFit="1" customWidth="1"/>
    <col min="7678" max="7678" width="13.54296875" style="129" customWidth="1"/>
    <col min="7679" max="7679" width="14.1796875" style="129" customWidth="1"/>
    <col min="7680" max="7680" width="12.54296875" style="129" customWidth="1"/>
    <col min="7681" max="7681" width="6.54296875" style="129" customWidth="1"/>
    <col min="7682" max="7682" width="13.54296875" style="129" bestFit="1" customWidth="1"/>
    <col min="7683" max="7684" width="11.453125" style="129" bestFit="1" customWidth="1"/>
    <col min="7685" max="7685" width="15.54296875" style="129" customWidth="1"/>
    <col min="7686" max="7930" width="8.81640625" style="129"/>
    <col min="7931" max="7931" width="28.453125" style="129" customWidth="1"/>
    <col min="7932" max="7932" width="13.54296875" style="129" customWidth="1"/>
    <col min="7933" max="7933" width="11.453125" style="129" bestFit="1" customWidth="1"/>
    <col min="7934" max="7934" width="13.54296875" style="129" customWidth="1"/>
    <col min="7935" max="7935" width="14.1796875" style="129" customWidth="1"/>
    <col min="7936" max="7936" width="12.54296875" style="129" customWidth="1"/>
    <col min="7937" max="7937" width="6.54296875" style="129" customWidth="1"/>
    <col min="7938" max="7938" width="13.54296875" style="129" bestFit="1" customWidth="1"/>
    <col min="7939" max="7940" width="11.453125" style="129" bestFit="1" customWidth="1"/>
    <col min="7941" max="7941" width="15.54296875" style="129" customWidth="1"/>
    <col min="7942" max="8186" width="8.81640625" style="129"/>
    <col min="8187" max="8187" width="28.453125" style="129" customWidth="1"/>
    <col min="8188" max="8188" width="13.54296875" style="129" customWidth="1"/>
    <col min="8189" max="8189" width="11.453125" style="129" bestFit="1" customWidth="1"/>
    <col min="8190" max="8190" width="13.54296875" style="129" customWidth="1"/>
    <col min="8191" max="8191" width="14.1796875" style="129" customWidth="1"/>
    <col min="8192" max="8192" width="12.54296875" style="129" customWidth="1"/>
    <col min="8193" max="8193" width="6.54296875" style="129" customWidth="1"/>
    <col min="8194" max="8194" width="13.54296875" style="129" bestFit="1" customWidth="1"/>
    <col min="8195" max="8196" width="11.453125" style="129" bestFit="1" customWidth="1"/>
    <col min="8197" max="8197" width="15.54296875" style="129" customWidth="1"/>
    <col min="8198" max="8442" width="8.81640625" style="129"/>
    <col min="8443" max="8443" width="28.453125" style="129" customWidth="1"/>
    <col min="8444" max="8444" width="13.54296875" style="129" customWidth="1"/>
    <col min="8445" max="8445" width="11.453125" style="129" bestFit="1" customWidth="1"/>
    <col min="8446" max="8446" width="13.54296875" style="129" customWidth="1"/>
    <col min="8447" max="8447" width="14.1796875" style="129" customWidth="1"/>
    <col min="8448" max="8448" width="12.54296875" style="129" customWidth="1"/>
    <col min="8449" max="8449" width="6.54296875" style="129" customWidth="1"/>
    <col min="8450" max="8450" width="13.54296875" style="129" bestFit="1" customWidth="1"/>
    <col min="8451" max="8452" width="11.453125" style="129" bestFit="1" customWidth="1"/>
    <col min="8453" max="8453" width="15.54296875" style="129" customWidth="1"/>
    <col min="8454" max="8698" width="8.81640625" style="129"/>
    <col min="8699" max="8699" width="28.453125" style="129" customWidth="1"/>
    <col min="8700" max="8700" width="13.54296875" style="129" customWidth="1"/>
    <col min="8701" max="8701" width="11.453125" style="129" bestFit="1" customWidth="1"/>
    <col min="8702" max="8702" width="13.54296875" style="129" customWidth="1"/>
    <col min="8703" max="8703" width="14.1796875" style="129" customWidth="1"/>
    <col min="8704" max="8704" width="12.54296875" style="129" customWidth="1"/>
    <col min="8705" max="8705" width="6.54296875" style="129" customWidth="1"/>
    <col min="8706" max="8706" width="13.54296875" style="129" bestFit="1" customWidth="1"/>
    <col min="8707" max="8708" width="11.453125" style="129" bestFit="1" customWidth="1"/>
    <col min="8709" max="8709" width="15.54296875" style="129" customWidth="1"/>
    <col min="8710" max="8954" width="8.81640625" style="129"/>
    <col min="8955" max="8955" width="28.453125" style="129" customWidth="1"/>
    <col min="8956" max="8956" width="13.54296875" style="129" customWidth="1"/>
    <col min="8957" max="8957" width="11.453125" style="129" bestFit="1" customWidth="1"/>
    <col min="8958" max="8958" width="13.54296875" style="129" customWidth="1"/>
    <col min="8959" max="8959" width="14.1796875" style="129" customWidth="1"/>
    <col min="8960" max="8960" width="12.54296875" style="129" customWidth="1"/>
    <col min="8961" max="8961" width="6.54296875" style="129" customWidth="1"/>
    <col min="8962" max="8962" width="13.54296875" style="129" bestFit="1" customWidth="1"/>
    <col min="8963" max="8964" width="11.453125" style="129" bestFit="1" customWidth="1"/>
    <col min="8965" max="8965" width="15.54296875" style="129" customWidth="1"/>
    <col min="8966" max="9210" width="8.81640625" style="129"/>
    <col min="9211" max="9211" width="28.453125" style="129" customWidth="1"/>
    <col min="9212" max="9212" width="13.54296875" style="129" customWidth="1"/>
    <col min="9213" max="9213" width="11.453125" style="129" bestFit="1" customWidth="1"/>
    <col min="9214" max="9214" width="13.54296875" style="129" customWidth="1"/>
    <col min="9215" max="9215" width="14.1796875" style="129" customWidth="1"/>
    <col min="9216" max="9216" width="12.54296875" style="129" customWidth="1"/>
    <col min="9217" max="9217" width="6.54296875" style="129" customWidth="1"/>
    <col min="9218" max="9218" width="13.54296875" style="129" bestFit="1" customWidth="1"/>
    <col min="9219" max="9220" width="11.453125" style="129" bestFit="1" customWidth="1"/>
    <col min="9221" max="9221" width="15.54296875" style="129" customWidth="1"/>
    <col min="9222" max="9466" width="8.81640625" style="129"/>
    <col min="9467" max="9467" width="28.453125" style="129" customWidth="1"/>
    <col min="9468" max="9468" width="13.54296875" style="129" customWidth="1"/>
    <col min="9469" max="9469" width="11.453125" style="129" bestFit="1" customWidth="1"/>
    <col min="9470" max="9470" width="13.54296875" style="129" customWidth="1"/>
    <col min="9471" max="9471" width="14.1796875" style="129" customWidth="1"/>
    <col min="9472" max="9472" width="12.54296875" style="129" customWidth="1"/>
    <col min="9473" max="9473" width="6.54296875" style="129" customWidth="1"/>
    <col min="9474" max="9474" width="13.54296875" style="129" bestFit="1" customWidth="1"/>
    <col min="9475" max="9476" width="11.453125" style="129" bestFit="1" customWidth="1"/>
    <col min="9477" max="9477" width="15.54296875" style="129" customWidth="1"/>
    <col min="9478" max="9722" width="8.81640625" style="129"/>
    <col min="9723" max="9723" width="28.453125" style="129" customWidth="1"/>
    <col min="9724" max="9724" width="13.54296875" style="129" customWidth="1"/>
    <col min="9725" max="9725" width="11.453125" style="129" bestFit="1" customWidth="1"/>
    <col min="9726" max="9726" width="13.54296875" style="129" customWidth="1"/>
    <col min="9727" max="9727" width="14.1796875" style="129" customWidth="1"/>
    <col min="9728" max="9728" width="12.54296875" style="129" customWidth="1"/>
    <col min="9729" max="9729" width="6.54296875" style="129" customWidth="1"/>
    <col min="9730" max="9730" width="13.54296875" style="129" bestFit="1" customWidth="1"/>
    <col min="9731" max="9732" width="11.453125" style="129" bestFit="1" customWidth="1"/>
    <col min="9733" max="9733" width="15.54296875" style="129" customWidth="1"/>
    <col min="9734" max="9978" width="8.81640625" style="129"/>
    <col min="9979" max="9979" width="28.453125" style="129" customWidth="1"/>
    <col min="9980" max="9980" width="13.54296875" style="129" customWidth="1"/>
    <col min="9981" max="9981" width="11.453125" style="129" bestFit="1" customWidth="1"/>
    <col min="9982" max="9982" width="13.54296875" style="129" customWidth="1"/>
    <col min="9983" max="9983" width="14.1796875" style="129" customWidth="1"/>
    <col min="9984" max="9984" width="12.54296875" style="129" customWidth="1"/>
    <col min="9985" max="9985" width="6.54296875" style="129" customWidth="1"/>
    <col min="9986" max="9986" width="13.54296875" style="129" bestFit="1" customWidth="1"/>
    <col min="9987" max="9988" width="11.453125" style="129" bestFit="1" customWidth="1"/>
    <col min="9989" max="9989" width="15.54296875" style="129" customWidth="1"/>
    <col min="9990" max="10234" width="8.81640625" style="129"/>
    <col min="10235" max="10235" width="28.453125" style="129" customWidth="1"/>
    <col min="10236" max="10236" width="13.54296875" style="129" customWidth="1"/>
    <col min="10237" max="10237" width="11.453125" style="129" bestFit="1" customWidth="1"/>
    <col min="10238" max="10238" width="13.54296875" style="129" customWidth="1"/>
    <col min="10239" max="10239" width="14.1796875" style="129" customWidth="1"/>
    <col min="10240" max="10240" width="12.54296875" style="129" customWidth="1"/>
    <col min="10241" max="10241" width="6.54296875" style="129" customWidth="1"/>
    <col min="10242" max="10242" width="13.54296875" style="129" bestFit="1" customWidth="1"/>
    <col min="10243" max="10244" width="11.453125" style="129" bestFit="1" customWidth="1"/>
    <col min="10245" max="10245" width="15.54296875" style="129" customWidth="1"/>
    <col min="10246" max="10490" width="8.81640625" style="129"/>
    <col min="10491" max="10491" width="28.453125" style="129" customWidth="1"/>
    <col min="10492" max="10492" width="13.54296875" style="129" customWidth="1"/>
    <col min="10493" max="10493" width="11.453125" style="129" bestFit="1" customWidth="1"/>
    <col min="10494" max="10494" width="13.54296875" style="129" customWidth="1"/>
    <col min="10495" max="10495" width="14.1796875" style="129" customWidth="1"/>
    <col min="10496" max="10496" width="12.54296875" style="129" customWidth="1"/>
    <col min="10497" max="10497" width="6.54296875" style="129" customWidth="1"/>
    <col min="10498" max="10498" width="13.54296875" style="129" bestFit="1" customWidth="1"/>
    <col min="10499" max="10500" width="11.453125" style="129" bestFit="1" customWidth="1"/>
    <col min="10501" max="10501" width="15.54296875" style="129" customWidth="1"/>
    <col min="10502" max="10746" width="8.81640625" style="129"/>
    <col min="10747" max="10747" width="28.453125" style="129" customWidth="1"/>
    <col min="10748" max="10748" width="13.54296875" style="129" customWidth="1"/>
    <col min="10749" max="10749" width="11.453125" style="129" bestFit="1" customWidth="1"/>
    <col min="10750" max="10750" width="13.54296875" style="129" customWidth="1"/>
    <col min="10751" max="10751" width="14.1796875" style="129" customWidth="1"/>
    <col min="10752" max="10752" width="12.54296875" style="129" customWidth="1"/>
    <col min="10753" max="10753" width="6.54296875" style="129" customWidth="1"/>
    <col min="10754" max="10754" width="13.54296875" style="129" bestFit="1" customWidth="1"/>
    <col min="10755" max="10756" width="11.453125" style="129" bestFit="1" customWidth="1"/>
    <col min="10757" max="10757" width="15.54296875" style="129" customWidth="1"/>
    <col min="10758" max="11002" width="8.81640625" style="129"/>
    <col min="11003" max="11003" width="28.453125" style="129" customWidth="1"/>
    <col min="11004" max="11004" width="13.54296875" style="129" customWidth="1"/>
    <col min="11005" max="11005" width="11.453125" style="129" bestFit="1" customWidth="1"/>
    <col min="11006" max="11006" width="13.54296875" style="129" customWidth="1"/>
    <col min="11007" max="11007" width="14.1796875" style="129" customWidth="1"/>
    <col min="11008" max="11008" width="12.54296875" style="129" customWidth="1"/>
    <col min="11009" max="11009" width="6.54296875" style="129" customWidth="1"/>
    <col min="11010" max="11010" width="13.54296875" style="129" bestFit="1" customWidth="1"/>
    <col min="11011" max="11012" width="11.453125" style="129" bestFit="1" customWidth="1"/>
    <col min="11013" max="11013" width="15.54296875" style="129" customWidth="1"/>
    <col min="11014" max="11258" width="8.81640625" style="129"/>
    <col min="11259" max="11259" width="28.453125" style="129" customWidth="1"/>
    <col min="11260" max="11260" width="13.54296875" style="129" customWidth="1"/>
    <col min="11261" max="11261" width="11.453125" style="129" bestFit="1" customWidth="1"/>
    <col min="11262" max="11262" width="13.54296875" style="129" customWidth="1"/>
    <col min="11263" max="11263" width="14.1796875" style="129" customWidth="1"/>
    <col min="11264" max="11264" width="12.54296875" style="129" customWidth="1"/>
    <col min="11265" max="11265" width="6.54296875" style="129" customWidth="1"/>
    <col min="11266" max="11266" width="13.54296875" style="129" bestFit="1" customWidth="1"/>
    <col min="11267" max="11268" width="11.453125" style="129" bestFit="1" customWidth="1"/>
    <col min="11269" max="11269" width="15.54296875" style="129" customWidth="1"/>
    <col min="11270" max="11514" width="8.81640625" style="129"/>
    <col min="11515" max="11515" width="28.453125" style="129" customWidth="1"/>
    <col min="11516" max="11516" width="13.54296875" style="129" customWidth="1"/>
    <col min="11517" max="11517" width="11.453125" style="129" bestFit="1" customWidth="1"/>
    <col min="11518" max="11518" width="13.54296875" style="129" customWidth="1"/>
    <col min="11519" max="11519" width="14.1796875" style="129" customWidth="1"/>
    <col min="11520" max="11520" width="12.54296875" style="129" customWidth="1"/>
    <col min="11521" max="11521" width="6.54296875" style="129" customWidth="1"/>
    <col min="11522" max="11522" width="13.54296875" style="129" bestFit="1" customWidth="1"/>
    <col min="11523" max="11524" width="11.453125" style="129" bestFit="1" customWidth="1"/>
    <col min="11525" max="11525" width="15.54296875" style="129" customWidth="1"/>
    <col min="11526" max="11770" width="8.81640625" style="129"/>
    <col min="11771" max="11771" width="28.453125" style="129" customWidth="1"/>
    <col min="11772" max="11772" width="13.54296875" style="129" customWidth="1"/>
    <col min="11773" max="11773" width="11.453125" style="129" bestFit="1" customWidth="1"/>
    <col min="11774" max="11774" width="13.54296875" style="129" customWidth="1"/>
    <col min="11775" max="11775" width="14.1796875" style="129" customWidth="1"/>
    <col min="11776" max="11776" width="12.54296875" style="129" customWidth="1"/>
    <col min="11777" max="11777" width="6.54296875" style="129" customWidth="1"/>
    <col min="11778" max="11778" width="13.54296875" style="129" bestFit="1" customWidth="1"/>
    <col min="11779" max="11780" width="11.453125" style="129" bestFit="1" customWidth="1"/>
    <col min="11781" max="11781" width="15.54296875" style="129" customWidth="1"/>
    <col min="11782" max="12026" width="8.81640625" style="129"/>
    <col min="12027" max="12027" width="28.453125" style="129" customWidth="1"/>
    <col min="12028" max="12028" width="13.54296875" style="129" customWidth="1"/>
    <col min="12029" max="12029" width="11.453125" style="129" bestFit="1" customWidth="1"/>
    <col min="12030" max="12030" width="13.54296875" style="129" customWidth="1"/>
    <col min="12031" max="12031" width="14.1796875" style="129" customWidth="1"/>
    <col min="12032" max="12032" width="12.54296875" style="129" customWidth="1"/>
    <col min="12033" max="12033" width="6.54296875" style="129" customWidth="1"/>
    <col min="12034" max="12034" width="13.54296875" style="129" bestFit="1" customWidth="1"/>
    <col min="12035" max="12036" width="11.453125" style="129" bestFit="1" customWidth="1"/>
    <col min="12037" max="12037" width="15.54296875" style="129" customWidth="1"/>
    <col min="12038" max="12282" width="8.81640625" style="129"/>
    <col min="12283" max="12283" width="28.453125" style="129" customWidth="1"/>
    <col min="12284" max="12284" width="13.54296875" style="129" customWidth="1"/>
    <col min="12285" max="12285" width="11.453125" style="129" bestFit="1" customWidth="1"/>
    <col min="12286" max="12286" width="13.54296875" style="129" customWidth="1"/>
    <col min="12287" max="12287" width="14.1796875" style="129" customWidth="1"/>
    <col min="12288" max="12288" width="12.54296875" style="129" customWidth="1"/>
    <col min="12289" max="12289" width="6.54296875" style="129" customWidth="1"/>
    <col min="12290" max="12290" width="13.54296875" style="129" bestFit="1" customWidth="1"/>
    <col min="12291" max="12292" width="11.453125" style="129" bestFit="1" customWidth="1"/>
    <col min="12293" max="12293" width="15.54296875" style="129" customWidth="1"/>
    <col min="12294" max="12538" width="8.81640625" style="129"/>
    <col min="12539" max="12539" width="28.453125" style="129" customWidth="1"/>
    <col min="12540" max="12540" width="13.54296875" style="129" customWidth="1"/>
    <col min="12541" max="12541" width="11.453125" style="129" bestFit="1" customWidth="1"/>
    <col min="12542" max="12542" width="13.54296875" style="129" customWidth="1"/>
    <col min="12543" max="12543" width="14.1796875" style="129" customWidth="1"/>
    <col min="12544" max="12544" width="12.54296875" style="129" customWidth="1"/>
    <col min="12545" max="12545" width="6.54296875" style="129" customWidth="1"/>
    <col min="12546" max="12546" width="13.54296875" style="129" bestFit="1" customWidth="1"/>
    <col min="12547" max="12548" width="11.453125" style="129" bestFit="1" customWidth="1"/>
    <col min="12549" max="12549" width="15.54296875" style="129" customWidth="1"/>
    <col min="12550" max="12794" width="8.81640625" style="129"/>
    <col min="12795" max="12795" width="28.453125" style="129" customWidth="1"/>
    <col min="12796" max="12796" width="13.54296875" style="129" customWidth="1"/>
    <col min="12797" max="12797" width="11.453125" style="129" bestFit="1" customWidth="1"/>
    <col min="12798" max="12798" width="13.54296875" style="129" customWidth="1"/>
    <col min="12799" max="12799" width="14.1796875" style="129" customWidth="1"/>
    <col min="12800" max="12800" width="12.54296875" style="129" customWidth="1"/>
    <col min="12801" max="12801" width="6.54296875" style="129" customWidth="1"/>
    <col min="12802" max="12802" width="13.54296875" style="129" bestFit="1" customWidth="1"/>
    <col min="12803" max="12804" width="11.453125" style="129" bestFit="1" customWidth="1"/>
    <col min="12805" max="12805" width="15.54296875" style="129" customWidth="1"/>
    <col min="12806" max="13050" width="8.81640625" style="129"/>
    <col min="13051" max="13051" width="28.453125" style="129" customWidth="1"/>
    <col min="13052" max="13052" width="13.54296875" style="129" customWidth="1"/>
    <col min="13053" max="13053" width="11.453125" style="129" bestFit="1" customWidth="1"/>
    <col min="13054" max="13054" width="13.54296875" style="129" customWidth="1"/>
    <col min="13055" max="13055" width="14.1796875" style="129" customWidth="1"/>
    <col min="13056" max="13056" width="12.54296875" style="129" customWidth="1"/>
    <col min="13057" max="13057" width="6.54296875" style="129" customWidth="1"/>
    <col min="13058" max="13058" width="13.54296875" style="129" bestFit="1" customWidth="1"/>
    <col min="13059" max="13060" width="11.453125" style="129" bestFit="1" customWidth="1"/>
    <col min="13061" max="13061" width="15.54296875" style="129" customWidth="1"/>
    <col min="13062" max="13306" width="8.81640625" style="129"/>
    <col min="13307" max="13307" width="28.453125" style="129" customWidth="1"/>
    <col min="13308" max="13308" width="13.54296875" style="129" customWidth="1"/>
    <col min="13309" max="13309" width="11.453125" style="129" bestFit="1" customWidth="1"/>
    <col min="13310" max="13310" width="13.54296875" style="129" customWidth="1"/>
    <col min="13311" max="13311" width="14.1796875" style="129" customWidth="1"/>
    <col min="13312" max="13312" width="12.54296875" style="129" customWidth="1"/>
    <col min="13313" max="13313" width="6.54296875" style="129" customWidth="1"/>
    <col min="13314" max="13314" width="13.54296875" style="129" bestFit="1" customWidth="1"/>
    <col min="13315" max="13316" width="11.453125" style="129" bestFit="1" customWidth="1"/>
    <col min="13317" max="13317" width="15.54296875" style="129" customWidth="1"/>
    <col min="13318" max="13562" width="8.81640625" style="129"/>
    <col min="13563" max="13563" width="28.453125" style="129" customWidth="1"/>
    <col min="13564" max="13564" width="13.54296875" style="129" customWidth="1"/>
    <col min="13565" max="13565" width="11.453125" style="129" bestFit="1" customWidth="1"/>
    <col min="13566" max="13566" width="13.54296875" style="129" customWidth="1"/>
    <col min="13567" max="13567" width="14.1796875" style="129" customWidth="1"/>
    <col min="13568" max="13568" width="12.54296875" style="129" customWidth="1"/>
    <col min="13569" max="13569" width="6.54296875" style="129" customWidth="1"/>
    <col min="13570" max="13570" width="13.54296875" style="129" bestFit="1" customWidth="1"/>
    <col min="13571" max="13572" width="11.453125" style="129" bestFit="1" customWidth="1"/>
    <col min="13573" max="13573" width="15.54296875" style="129" customWidth="1"/>
    <col min="13574" max="13818" width="8.81640625" style="129"/>
    <col min="13819" max="13819" width="28.453125" style="129" customWidth="1"/>
    <col min="13820" max="13820" width="13.54296875" style="129" customWidth="1"/>
    <col min="13821" max="13821" width="11.453125" style="129" bestFit="1" customWidth="1"/>
    <col min="13822" max="13822" width="13.54296875" style="129" customWidth="1"/>
    <col min="13823" max="13823" width="14.1796875" style="129" customWidth="1"/>
    <col min="13824" max="13824" width="12.54296875" style="129" customWidth="1"/>
    <col min="13825" max="13825" width="6.54296875" style="129" customWidth="1"/>
    <col min="13826" max="13826" width="13.54296875" style="129" bestFit="1" customWidth="1"/>
    <col min="13827" max="13828" width="11.453125" style="129" bestFit="1" customWidth="1"/>
    <col min="13829" max="13829" width="15.54296875" style="129" customWidth="1"/>
    <col min="13830" max="14074" width="8.81640625" style="129"/>
    <col min="14075" max="14075" width="28.453125" style="129" customWidth="1"/>
    <col min="14076" max="14076" width="13.54296875" style="129" customWidth="1"/>
    <col min="14077" max="14077" width="11.453125" style="129" bestFit="1" customWidth="1"/>
    <col min="14078" max="14078" width="13.54296875" style="129" customWidth="1"/>
    <col min="14079" max="14079" width="14.1796875" style="129" customWidth="1"/>
    <col min="14080" max="14080" width="12.54296875" style="129" customWidth="1"/>
    <col min="14081" max="14081" width="6.54296875" style="129" customWidth="1"/>
    <col min="14082" max="14082" width="13.54296875" style="129" bestFit="1" customWidth="1"/>
    <col min="14083" max="14084" width="11.453125" style="129" bestFit="1" customWidth="1"/>
    <col min="14085" max="14085" width="15.54296875" style="129" customWidth="1"/>
    <col min="14086" max="14330" width="8.81640625" style="129"/>
    <col min="14331" max="14331" width="28.453125" style="129" customWidth="1"/>
    <col min="14332" max="14332" width="13.54296875" style="129" customWidth="1"/>
    <col min="14333" max="14333" width="11.453125" style="129" bestFit="1" customWidth="1"/>
    <col min="14334" max="14334" width="13.54296875" style="129" customWidth="1"/>
    <col min="14335" max="14335" width="14.1796875" style="129" customWidth="1"/>
    <col min="14336" max="14336" width="12.54296875" style="129" customWidth="1"/>
    <col min="14337" max="14337" width="6.54296875" style="129" customWidth="1"/>
    <col min="14338" max="14338" width="13.54296875" style="129" bestFit="1" customWidth="1"/>
    <col min="14339" max="14340" width="11.453125" style="129" bestFit="1" customWidth="1"/>
    <col min="14341" max="14341" width="15.54296875" style="129" customWidth="1"/>
    <col min="14342" max="14586" width="8.81640625" style="129"/>
    <col min="14587" max="14587" width="28.453125" style="129" customWidth="1"/>
    <col min="14588" max="14588" width="13.54296875" style="129" customWidth="1"/>
    <col min="14589" max="14589" width="11.453125" style="129" bestFit="1" customWidth="1"/>
    <col min="14590" max="14590" width="13.54296875" style="129" customWidth="1"/>
    <col min="14591" max="14591" width="14.1796875" style="129" customWidth="1"/>
    <col min="14592" max="14592" width="12.54296875" style="129" customWidth="1"/>
    <col min="14593" max="14593" width="6.54296875" style="129" customWidth="1"/>
    <col min="14594" max="14594" width="13.54296875" style="129" bestFit="1" customWidth="1"/>
    <col min="14595" max="14596" width="11.453125" style="129" bestFit="1" customWidth="1"/>
    <col min="14597" max="14597" width="15.54296875" style="129" customWidth="1"/>
    <col min="14598" max="14842" width="8.81640625" style="129"/>
    <col min="14843" max="14843" width="28.453125" style="129" customWidth="1"/>
    <col min="14844" max="14844" width="13.54296875" style="129" customWidth="1"/>
    <col min="14845" max="14845" width="11.453125" style="129" bestFit="1" customWidth="1"/>
    <col min="14846" max="14846" width="13.54296875" style="129" customWidth="1"/>
    <col min="14847" max="14847" width="14.1796875" style="129" customWidth="1"/>
    <col min="14848" max="14848" width="12.54296875" style="129" customWidth="1"/>
    <col min="14849" max="14849" width="6.54296875" style="129" customWidth="1"/>
    <col min="14850" max="14850" width="13.54296875" style="129" bestFit="1" customWidth="1"/>
    <col min="14851" max="14852" width="11.453125" style="129" bestFit="1" customWidth="1"/>
    <col min="14853" max="14853" width="15.54296875" style="129" customWidth="1"/>
    <col min="14854" max="15098" width="8.81640625" style="129"/>
    <col min="15099" max="15099" width="28.453125" style="129" customWidth="1"/>
    <col min="15100" max="15100" width="13.54296875" style="129" customWidth="1"/>
    <col min="15101" max="15101" width="11.453125" style="129" bestFit="1" customWidth="1"/>
    <col min="15102" max="15102" width="13.54296875" style="129" customWidth="1"/>
    <col min="15103" max="15103" width="14.1796875" style="129" customWidth="1"/>
    <col min="15104" max="15104" width="12.54296875" style="129" customWidth="1"/>
    <col min="15105" max="15105" width="6.54296875" style="129" customWidth="1"/>
    <col min="15106" max="15106" width="13.54296875" style="129" bestFit="1" customWidth="1"/>
    <col min="15107" max="15108" width="11.453125" style="129" bestFit="1" customWidth="1"/>
    <col min="15109" max="15109" width="15.54296875" style="129" customWidth="1"/>
    <col min="15110" max="15354" width="8.81640625" style="129"/>
    <col min="15355" max="15355" width="28.453125" style="129" customWidth="1"/>
    <col min="15356" max="15356" width="13.54296875" style="129" customWidth="1"/>
    <col min="15357" max="15357" width="11.453125" style="129" bestFit="1" customWidth="1"/>
    <col min="15358" max="15358" width="13.54296875" style="129" customWidth="1"/>
    <col min="15359" max="15359" width="14.1796875" style="129" customWidth="1"/>
    <col min="15360" max="15360" width="12.54296875" style="129" customWidth="1"/>
    <col min="15361" max="15361" width="6.54296875" style="129" customWidth="1"/>
    <col min="15362" max="15362" width="13.54296875" style="129" bestFit="1" customWidth="1"/>
    <col min="15363" max="15364" width="11.453125" style="129" bestFit="1" customWidth="1"/>
    <col min="15365" max="15365" width="15.54296875" style="129" customWidth="1"/>
    <col min="15366" max="15610" width="8.81640625" style="129"/>
    <col min="15611" max="15611" width="28.453125" style="129" customWidth="1"/>
    <col min="15612" max="15612" width="13.54296875" style="129" customWidth="1"/>
    <col min="15613" max="15613" width="11.453125" style="129" bestFit="1" customWidth="1"/>
    <col min="15614" max="15614" width="13.54296875" style="129" customWidth="1"/>
    <col min="15615" max="15615" width="14.1796875" style="129" customWidth="1"/>
    <col min="15616" max="15616" width="12.54296875" style="129" customWidth="1"/>
    <col min="15617" max="15617" width="6.54296875" style="129" customWidth="1"/>
    <col min="15618" max="15618" width="13.54296875" style="129" bestFit="1" customWidth="1"/>
    <col min="15619" max="15620" width="11.453125" style="129" bestFit="1" customWidth="1"/>
    <col min="15621" max="15621" width="15.54296875" style="129" customWidth="1"/>
    <col min="15622" max="15866" width="8.81640625" style="129"/>
    <col min="15867" max="15867" width="28.453125" style="129" customWidth="1"/>
    <col min="15868" max="15868" width="13.54296875" style="129" customWidth="1"/>
    <col min="15869" max="15869" width="11.453125" style="129" bestFit="1" customWidth="1"/>
    <col min="15870" max="15870" width="13.54296875" style="129" customWidth="1"/>
    <col min="15871" max="15871" width="14.1796875" style="129" customWidth="1"/>
    <col min="15872" max="15872" width="12.54296875" style="129" customWidth="1"/>
    <col min="15873" max="15873" width="6.54296875" style="129" customWidth="1"/>
    <col min="15874" max="15874" width="13.54296875" style="129" bestFit="1" customWidth="1"/>
    <col min="15875" max="15876" width="11.453125" style="129" bestFit="1" customWidth="1"/>
    <col min="15877" max="15877" width="15.54296875" style="129" customWidth="1"/>
    <col min="15878" max="16122" width="8.81640625" style="129"/>
    <col min="16123" max="16123" width="28.453125" style="129" customWidth="1"/>
    <col min="16124" max="16124" width="13.54296875" style="129" customWidth="1"/>
    <col min="16125" max="16125" width="11.453125" style="129" bestFit="1" customWidth="1"/>
    <col min="16126" max="16126" width="13.54296875" style="129" customWidth="1"/>
    <col min="16127" max="16127" width="14.1796875" style="129" customWidth="1"/>
    <col min="16128" max="16128" width="12.54296875" style="129" customWidth="1"/>
    <col min="16129" max="16129" width="6.54296875" style="129" customWidth="1"/>
    <col min="16130" max="16130" width="13.54296875" style="129" bestFit="1" customWidth="1"/>
    <col min="16131" max="16132" width="11.453125" style="129" bestFit="1" customWidth="1"/>
    <col min="16133" max="16133" width="15.54296875" style="129" customWidth="1"/>
    <col min="16134" max="16384" width="8.81640625" style="129"/>
  </cols>
  <sheetData>
    <row r="2" spans="2:10" x14ac:dyDescent="0.45">
      <c r="B2" s="325" t="str">
        <f>+EBP!A1</f>
        <v>ABC INDIA LIMITED</v>
      </c>
      <c r="C2" s="311"/>
      <c r="D2" s="311"/>
      <c r="E2" s="311"/>
      <c r="F2" s="311"/>
      <c r="G2" s="325"/>
    </row>
    <row r="3" spans="2:10" ht="19.5" thickBot="1" x14ac:dyDescent="0.5">
      <c r="B3" s="169" t="s">
        <v>809</v>
      </c>
      <c r="C3" s="169"/>
      <c r="D3" s="169"/>
      <c r="E3" s="169"/>
      <c r="F3" s="169"/>
      <c r="G3" s="169"/>
    </row>
    <row r="4" spans="2:10" ht="19.5" thickTop="1" x14ac:dyDescent="0.45">
      <c r="B4" s="289"/>
      <c r="C4" s="289"/>
      <c r="D4" s="289"/>
      <c r="E4" s="289"/>
      <c r="F4" s="289"/>
      <c r="G4" s="289"/>
    </row>
    <row r="5" spans="2:10" x14ac:dyDescent="0.45">
      <c r="B5" s="128" t="s">
        <v>722</v>
      </c>
    </row>
    <row r="6" spans="2:10" ht="19.5" thickBot="1" x14ac:dyDescent="0.5">
      <c r="B6" s="128"/>
    </row>
    <row r="7" spans="2:10" ht="19.5" thickBot="1" x14ac:dyDescent="0.5">
      <c r="B7" s="323"/>
      <c r="C7" s="830" t="s">
        <v>292</v>
      </c>
      <c r="D7" s="831"/>
      <c r="E7" s="831"/>
      <c r="F7" s="831"/>
      <c r="G7" s="832"/>
    </row>
    <row r="8" spans="2:10" x14ac:dyDescent="0.45">
      <c r="B8" s="326" t="s">
        <v>0</v>
      </c>
      <c r="C8" s="315" t="s">
        <v>293</v>
      </c>
      <c r="D8" s="818" t="s">
        <v>294</v>
      </c>
      <c r="E8" s="818" t="s">
        <v>295</v>
      </c>
      <c r="F8" s="317" t="s">
        <v>24</v>
      </c>
      <c r="G8" s="316" t="s">
        <v>24</v>
      </c>
      <c r="J8" s="2"/>
    </row>
    <row r="9" spans="2:10" ht="19.5" thickBot="1" x14ac:dyDescent="0.5">
      <c r="B9" s="327"/>
      <c r="C9" s="319" t="s">
        <v>745</v>
      </c>
      <c r="D9" s="819"/>
      <c r="E9" s="819"/>
      <c r="F9" s="321" t="s">
        <v>771</v>
      </c>
      <c r="G9" s="320" t="s">
        <v>461</v>
      </c>
    </row>
    <row r="10" spans="2:10" x14ac:dyDescent="0.45">
      <c r="B10" s="147"/>
      <c r="C10" s="328"/>
      <c r="D10" s="2"/>
      <c r="E10" s="2"/>
      <c r="F10" s="329"/>
      <c r="G10" s="479"/>
    </row>
    <row r="11" spans="2:10" x14ac:dyDescent="0.45">
      <c r="B11" s="147" t="s">
        <v>720</v>
      </c>
      <c r="C11" s="328">
        <f>F15</f>
        <v>935397.77</v>
      </c>
      <c r="D11" s="329">
        <v>0</v>
      </c>
      <c r="E11" s="2">
        <v>0</v>
      </c>
      <c r="F11" s="2">
        <f>+C11+D11-E11</f>
        <v>935397.77</v>
      </c>
      <c r="G11" s="479">
        <v>935397.77</v>
      </c>
    </row>
    <row r="12" spans="2:10" x14ac:dyDescent="0.45">
      <c r="B12" s="147" t="s">
        <v>780</v>
      </c>
      <c r="C12" s="328">
        <v>0</v>
      </c>
      <c r="D12" s="329">
        <v>566712</v>
      </c>
      <c r="E12" s="2"/>
      <c r="F12" s="2">
        <f t="shared" ref="F12:F13" si="0">+C12+D12-E12</f>
        <v>566712</v>
      </c>
      <c r="G12" s="479"/>
    </row>
    <row r="13" spans="2:10" ht="19.5" thickBot="1" x14ac:dyDescent="0.5">
      <c r="B13" s="147" t="s">
        <v>781</v>
      </c>
      <c r="C13" s="328">
        <v>0</v>
      </c>
      <c r="D13" s="329">
        <v>661123.81999999995</v>
      </c>
      <c r="E13" s="2"/>
      <c r="F13" s="2">
        <f t="shared" si="0"/>
        <v>661123.81999999995</v>
      </c>
      <c r="G13" s="479"/>
    </row>
    <row r="14" spans="2:10" ht="19.5" thickBot="1" x14ac:dyDescent="0.5">
      <c r="B14" s="330" t="s">
        <v>362</v>
      </c>
      <c r="C14" s="331">
        <f>SUM(C11)</f>
        <v>935397.77</v>
      </c>
      <c r="D14" s="331">
        <f>SUM(D11:D13)</f>
        <v>1227835.8199999998</v>
      </c>
      <c r="E14" s="331">
        <f>SUM(E11:E13)</f>
        <v>0</v>
      </c>
      <c r="F14" s="331">
        <f>SUM(F11:F13)</f>
        <v>2163233.59</v>
      </c>
      <c r="G14" s="331">
        <f t="shared" ref="G14" si="1">SUM(G11)</f>
        <v>935397.77</v>
      </c>
    </row>
    <row r="15" spans="2:10" ht="19.5" thickBot="1" x14ac:dyDescent="0.5">
      <c r="B15" s="332" t="s">
        <v>710</v>
      </c>
      <c r="C15" s="333">
        <v>0</v>
      </c>
      <c r="D15" s="333">
        <v>935397.77</v>
      </c>
      <c r="E15" s="333">
        <v>0</v>
      </c>
      <c r="F15" s="333">
        <v>935397.77</v>
      </c>
      <c r="G15" s="480">
        <v>0</v>
      </c>
    </row>
    <row r="16" spans="2:10" x14ac:dyDescent="0.45">
      <c r="B16" s="2"/>
      <c r="C16" s="2"/>
      <c r="D16" s="2"/>
      <c r="E16" s="2"/>
      <c r="F16" s="2"/>
      <c r="G16" s="2"/>
    </row>
    <row r="17" spans="1:7" x14ac:dyDescent="0.45">
      <c r="A17" s="334"/>
      <c r="B17" s="181" t="s">
        <v>711</v>
      </c>
      <c r="C17" s="182"/>
      <c r="D17" s="182"/>
      <c r="E17" s="182"/>
      <c r="F17" s="182"/>
    </row>
    <row r="18" spans="1:7" x14ac:dyDescent="0.45">
      <c r="A18" s="182"/>
      <c r="B18" s="833" t="s">
        <v>712</v>
      </c>
      <c r="C18" s="827" t="s">
        <v>713</v>
      </c>
      <c r="D18" s="828"/>
      <c r="E18" s="828"/>
      <c r="F18" s="828"/>
      <c r="G18" s="829"/>
    </row>
    <row r="19" spans="1:7" ht="38" x14ac:dyDescent="0.45">
      <c r="A19" s="182"/>
      <c r="B19" s="834"/>
      <c r="C19" s="191" t="s">
        <v>714</v>
      </c>
      <c r="D19" s="192" t="s">
        <v>715</v>
      </c>
      <c r="E19" s="192" t="s">
        <v>716</v>
      </c>
      <c r="F19" s="191" t="s">
        <v>717</v>
      </c>
      <c r="G19" s="382" t="s">
        <v>32</v>
      </c>
    </row>
    <row r="20" spans="1:7" x14ac:dyDescent="0.45">
      <c r="A20" s="182"/>
      <c r="B20" s="335" t="s">
        <v>772</v>
      </c>
      <c r="C20" s="182"/>
      <c r="D20" s="336"/>
      <c r="E20" s="336"/>
      <c r="F20" s="336"/>
      <c r="G20" s="88"/>
    </row>
    <row r="21" spans="1:7" x14ac:dyDescent="0.45">
      <c r="A21" s="182"/>
      <c r="B21" s="90" t="s">
        <v>718</v>
      </c>
      <c r="C21" s="89">
        <f>F12+F13</f>
        <v>1227835.8199999998</v>
      </c>
      <c r="D21" s="89">
        <f>F11</f>
        <v>935397.77</v>
      </c>
      <c r="E21" s="89">
        <v>0</v>
      </c>
      <c r="F21" s="89">
        <v>0</v>
      </c>
      <c r="G21" s="89">
        <f>SUM(C21:F21)</f>
        <v>2163233.59</v>
      </c>
    </row>
    <row r="22" spans="1:7" x14ac:dyDescent="0.45">
      <c r="A22" s="182"/>
      <c r="B22" s="90" t="s">
        <v>719</v>
      </c>
      <c r="C22" s="90">
        <v>0</v>
      </c>
      <c r="D22" s="90">
        <v>0</v>
      </c>
      <c r="E22" s="90">
        <v>0</v>
      </c>
      <c r="F22" s="90">
        <v>0</v>
      </c>
      <c r="G22" s="89">
        <v>0</v>
      </c>
    </row>
    <row r="23" spans="1:7" x14ac:dyDescent="0.45">
      <c r="A23" s="182"/>
      <c r="B23" s="182"/>
      <c r="C23" s="182"/>
      <c r="D23" s="182"/>
      <c r="E23" s="182"/>
      <c r="F23" s="182"/>
    </row>
    <row r="24" spans="1:7" x14ac:dyDescent="0.45">
      <c r="A24" s="182"/>
      <c r="B24" s="825" t="s">
        <v>712</v>
      </c>
      <c r="C24" s="827" t="s">
        <v>713</v>
      </c>
      <c r="D24" s="828"/>
      <c r="E24" s="828"/>
      <c r="F24" s="828"/>
      <c r="G24" s="829"/>
    </row>
    <row r="25" spans="1:7" ht="38" x14ac:dyDescent="0.45">
      <c r="A25" s="182"/>
      <c r="B25" s="826"/>
      <c r="C25" s="481" t="s">
        <v>714</v>
      </c>
      <c r="D25" s="386" t="s">
        <v>715</v>
      </c>
      <c r="E25" s="386" t="s">
        <v>716</v>
      </c>
      <c r="F25" s="481" t="s">
        <v>717</v>
      </c>
      <c r="G25" s="382" t="s">
        <v>32</v>
      </c>
    </row>
    <row r="26" spans="1:7" x14ac:dyDescent="0.45">
      <c r="A26" s="182"/>
      <c r="B26" s="335" t="s">
        <v>466</v>
      </c>
      <c r="C26" s="196"/>
      <c r="D26" s="196"/>
      <c r="E26" s="196"/>
      <c r="F26" s="196"/>
      <c r="G26" s="89"/>
    </row>
    <row r="27" spans="1:7" x14ac:dyDescent="0.45">
      <c r="A27" s="182"/>
      <c r="B27" s="90" t="s">
        <v>718</v>
      </c>
      <c r="C27" s="89">
        <v>935398</v>
      </c>
      <c r="D27" s="89">
        <v>0</v>
      </c>
      <c r="E27" s="89">
        <v>0</v>
      </c>
      <c r="F27" s="90">
        <v>0</v>
      </c>
      <c r="G27" s="89">
        <f>SUM(C27:F27)</f>
        <v>935398</v>
      </c>
    </row>
    <row r="28" spans="1:7" x14ac:dyDescent="0.45">
      <c r="A28" s="182"/>
      <c r="B28" s="90" t="s">
        <v>719</v>
      </c>
      <c r="C28" s="90">
        <v>0</v>
      </c>
      <c r="D28" s="90">
        <v>0</v>
      </c>
      <c r="E28" s="90">
        <v>0</v>
      </c>
      <c r="F28" s="90">
        <v>0</v>
      </c>
      <c r="G28" s="89">
        <v>0</v>
      </c>
    </row>
  </sheetData>
  <mergeCells count="7">
    <mergeCell ref="B24:B25"/>
    <mergeCell ref="C24:G24"/>
    <mergeCell ref="C7:G7"/>
    <mergeCell ref="D8:D9"/>
    <mergeCell ref="E8:E9"/>
    <mergeCell ref="B18:B19"/>
    <mergeCell ref="C18:G18"/>
  </mergeCells>
  <pageMargins left="0.23622047244094491" right="0.23622047244094491" top="0.74803149606299213" bottom="0.74803149606299213" header="0.31496062992125984" footer="0.31496062992125984"/>
  <pageSetup scale="65" orientation="portrait" r:id="rId1"/>
  <colBreaks count="1" manualBreakCount="1">
    <brk id="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H88"/>
  <sheetViews>
    <sheetView showGridLines="0" view="pageBreakPreview" topLeftCell="A74" zoomScale="70" zoomScaleNormal="70" zoomScaleSheetLayoutView="70" workbookViewId="0">
      <selection activeCell="B96" sqref="B96"/>
    </sheetView>
  </sheetViews>
  <sheetFormatPr defaultColWidth="8.81640625" defaultRowHeight="12.5" x14ac:dyDescent="0.25"/>
  <cols>
    <col min="1" max="1" width="11.453125" style="95" bestFit="1" customWidth="1"/>
    <col min="2" max="2" width="55.26953125" style="95" customWidth="1"/>
    <col min="3" max="3" width="22.7265625" style="95" bestFit="1" customWidth="1"/>
    <col min="4" max="4" width="21.453125" style="95" bestFit="1" customWidth="1"/>
    <col min="5" max="5" width="20.26953125" style="95" customWidth="1"/>
    <col min="6" max="6" width="24.7265625" style="95" customWidth="1"/>
    <col min="7" max="7" width="23.7265625" style="95" customWidth="1"/>
    <col min="8" max="8" width="22.7265625" style="95" customWidth="1"/>
    <col min="9" max="10" width="8.81640625" style="95"/>
    <col min="11" max="11" width="13.7265625" style="95" bestFit="1" customWidth="1"/>
    <col min="12" max="12" width="11.1796875" style="95" bestFit="1" customWidth="1"/>
    <col min="13" max="16384" width="8.81640625" style="95"/>
  </cols>
  <sheetData>
    <row r="1" spans="1:8" ht="20" x14ac:dyDescent="0.4">
      <c r="A1" s="167" t="str">
        <f>'NOTE (4-12)'!A2:H2</f>
        <v>ABC INDIA LIMITED</v>
      </c>
      <c r="B1" s="337"/>
      <c r="C1" s="337"/>
      <c r="D1" s="337"/>
      <c r="E1" s="337"/>
      <c r="F1" s="337"/>
      <c r="G1" s="337"/>
      <c r="H1" s="337"/>
    </row>
    <row r="2" spans="1:8" ht="19.5" thickBot="1" x14ac:dyDescent="0.5">
      <c r="A2" s="808" t="str">
        <f>'NOTE (4-12)'!A3:H3</f>
        <v>Notes to financial statements for the year ended at 31st March 2025</v>
      </c>
      <c r="B2" s="808"/>
      <c r="C2" s="808"/>
      <c r="D2" s="808"/>
      <c r="E2" s="808"/>
      <c r="F2" s="808"/>
      <c r="G2" s="808"/>
      <c r="H2" s="808"/>
    </row>
    <row r="3" spans="1:8" ht="19.5" thickTop="1" x14ac:dyDescent="0.45">
      <c r="A3" s="289"/>
      <c r="B3" s="289"/>
      <c r="C3" s="289"/>
      <c r="D3" s="289"/>
      <c r="E3" s="289"/>
      <c r="F3" s="289"/>
      <c r="G3" s="289"/>
      <c r="H3" s="289"/>
    </row>
    <row r="4" spans="1:8" ht="19" x14ac:dyDescent="0.45">
      <c r="A4" s="94" t="s">
        <v>232</v>
      </c>
      <c r="B4" s="392" t="s">
        <v>136</v>
      </c>
      <c r="C4" s="379"/>
      <c r="D4" s="379"/>
      <c r="E4" s="379"/>
      <c r="F4" s="128"/>
      <c r="G4" s="170"/>
    </row>
    <row r="5" spans="1:8" ht="19" x14ac:dyDescent="0.45">
      <c r="A5" s="94"/>
      <c r="B5" s="289"/>
      <c r="C5" s="379"/>
      <c r="D5" s="379"/>
      <c r="E5" s="379"/>
      <c r="F5" s="338"/>
      <c r="G5" s="314"/>
    </row>
    <row r="6" spans="1:8" ht="38" x14ac:dyDescent="0.45">
      <c r="A6" s="94"/>
      <c r="B6" s="753" t="s">
        <v>37</v>
      </c>
      <c r="C6" s="762"/>
      <c r="D6" s="762"/>
      <c r="E6" s="754"/>
      <c r="F6" s="384" t="str">
        <f>'NOTE (4-12)'!$E$59</f>
        <v>As at March 31, 2025</v>
      </c>
      <c r="G6" s="384" t="str">
        <f>'NOTE (4-12)'!$F$59</f>
        <v>As at March 31, 2024</v>
      </c>
    </row>
    <row r="7" spans="1:8" ht="22" x14ac:dyDescent="0.45">
      <c r="A7" s="94"/>
      <c r="B7" s="339" t="s">
        <v>412</v>
      </c>
      <c r="C7" s="340"/>
      <c r="D7" s="340"/>
      <c r="E7" s="341"/>
      <c r="F7" s="104"/>
      <c r="G7" s="104"/>
    </row>
    <row r="8" spans="1:8" ht="19" x14ac:dyDescent="0.45">
      <c r="A8" s="94"/>
      <c r="B8" s="836" t="s">
        <v>410</v>
      </c>
      <c r="C8" s="837"/>
      <c r="D8" s="837"/>
      <c r="E8" s="838"/>
      <c r="F8" s="107">
        <f>'[2]All Branches Combined'!$O$291</f>
        <v>51040</v>
      </c>
      <c r="G8" s="107">
        <v>51040</v>
      </c>
    </row>
    <row r="9" spans="1:8" ht="19" x14ac:dyDescent="0.45">
      <c r="A9" s="94"/>
      <c r="B9" s="387"/>
      <c r="C9" s="388"/>
      <c r="D9" s="388"/>
      <c r="E9" s="389"/>
      <c r="F9" s="107"/>
      <c r="G9" s="107"/>
    </row>
    <row r="10" spans="1:8" ht="19" x14ac:dyDescent="0.45">
      <c r="A10" s="94"/>
      <c r="B10" s="339" t="s">
        <v>411</v>
      </c>
      <c r="C10" s="342"/>
      <c r="D10" s="342"/>
      <c r="E10" s="343"/>
      <c r="F10" s="107"/>
      <c r="G10" s="107"/>
    </row>
    <row r="11" spans="1:8" ht="19" x14ac:dyDescent="0.45">
      <c r="A11" s="94"/>
      <c r="B11" s="91" t="s">
        <v>864</v>
      </c>
      <c r="C11" s="342"/>
      <c r="D11" s="342"/>
      <c r="E11" s="343"/>
      <c r="F11" s="107"/>
      <c r="G11" s="107"/>
    </row>
    <row r="12" spans="1:8" ht="19" x14ac:dyDescent="0.45">
      <c r="A12" s="94"/>
      <c r="B12" s="91" t="s">
        <v>413</v>
      </c>
      <c r="C12" s="388"/>
      <c r="D12" s="388"/>
      <c r="E12" s="389"/>
      <c r="F12" s="107">
        <f>'[2]All Branches Combined'!$O$293</f>
        <v>1780879.5</v>
      </c>
      <c r="G12" s="107">
        <v>1780879.5</v>
      </c>
    </row>
    <row r="13" spans="1:8" ht="19" x14ac:dyDescent="0.45">
      <c r="A13" s="274"/>
      <c r="B13" s="91" t="s">
        <v>865</v>
      </c>
      <c r="C13" s="388"/>
      <c r="D13" s="388"/>
      <c r="E13" s="389"/>
      <c r="F13" s="107"/>
      <c r="G13" s="107"/>
    </row>
    <row r="14" spans="1:8" ht="19" x14ac:dyDescent="0.45">
      <c r="A14" s="274"/>
      <c r="B14" s="91" t="s">
        <v>436</v>
      </c>
      <c r="C14" s="388"/>
      <c r="D14" s="388"/>
      <c r="E14" s="389"/>
      <c r="F14" s="107">
        <f>'[2]All Branches Combined'!$O$292</f>
        <v>2548225</v>
      </c>
      <c r="G14" s="107">
        <v>2548225</v>
      </c>
    </row>
    <row r="15" spans="1:8" ht="19" x14ac:dyDescent="0.45">
      <c r="A15" s="94"/>
      <c r="B15" s="223"/>
      <c r="C15" s="344"/>
      <c r="D15" s="344"/>
      <c r="E15" s="345"/>
      <c r="F15" s="107"/>
      <c r="G15" s="107"/>
    </row>
    <row r="16" spans="1:8" ht="19.5" thickBot="1" x14ac:dyDescent="0.5">
      <c r="A16" s="94"/>
      <c r="B16" s="785" t="s">
        <v>32</v>
      </c>
      <c r="C16" s="786"/>
      <c r="D16" s="786"/>
      <c r="E16" s="757"/>
      <c r="F16" s="346">
        <f>SUM(F8:F14)</f>
        <v>4380144.5</v>
      </c>
      <c r="G16" s="346">
        <f>SUM(G8:G14)+1</f>
        <v>4380145.5</v>
      </c>
    </row>
    <row r="17" spans="1:7" ht="19.5" thickTop="1" x14ac:dyDescent="0.45">
      <c r="A17" s="94"/>
      <c r="B17" s="94"/>
      <c r="C17" s="94"/>
      <c r="D17" s="94"/>
      <c r="E17" s="94"/>
      <c r="F17" s="347"/>
      <c r="G17" s="347"/>
    </row>
    <row r="18" spans="1:7" ht="19" x14ac:dyDescent="0.45">
      <c r="A18" s="94" t="s">
        <v>316</v>
      </c>
      <c r="B18" s="392" t="s">
        <v>147</v>
      </c>
      <c r="C18" s="94"/>
      <c r="D18" s="94"/>
      <c r="E18" s="94"/>
      <c r="F18" s="128"/>
      <c r="G18" s="128"/>
    </row>
    <row r="19" spans="1:7" ht="19" x14ac:dyDescent="0.45">
      <c r="A19" s="94"/>
      <c r="B19" s="94"/>
      <c r="C19" s="94"/>
      <c r="D19" s="94"/>
      <c r="E19" s="94"/>
      <c r="F19" s="338"/>
      <c r="G19" s="338"/>
    </row>
    <row r="20" spans="1:7" ht="38" x14ac:dyDescent="0.45">
      <c r="A20" s="94"/>
      <c r="B20" s="753" t="s">
        <v>37</v>
      </c>
      <c r="C20" s="762"/>
      <c r="D20" s="762"/>
      <c r="E20" s="754"/>
      <c r="F20" s="384" t="str">
        <f>'NOTE (4-12)'!$E$59</f>
        <v>As at March 31, 2025</v>
      </c>
      <c r="G20" s="384" t="s">
        <v>459</v>
      </c>
    </row>
    <row r="21" spans="1:7" ht="19" x14ac:dyDescent="0.45">
      <c r="A21" s="94"/>
      <c r="B21" s="378" t="s">
        <v>313</v>
      </c>
      <c r="C21" s="131"/>
      <c r="D21" s="131"/>
      <c r="E21" s="131"/>
      <c r="F21" s="92">
        <v>14935655</v>
      </c>
      <c r="G21" s="107">
        <v>16793070</v>
      </c>
    </row>
    <row r="22" spans="1:7" ht="19" x14ac:dyDescent="0.45">
      <c r="A22" s="94"/>
      <c r="B22" s="378" t="s">
        <v>148</v>
      </c>
      <c r="C22" s="379"/>
      <c r="D22" s="379"/>
      <c r="E22" s="276"/>
      <c r="F22" s="385">
        <f>'[2]All Branches Combined'!$O$317</f>
        <v>2262927</v>
      </c>
      <c r="G22" s="107">
        <v>1216982</v>
      </c>
    </row>
    <row r="23" spans="1:7" ht="19" x14ac:dyDescent="0.45">
      <c r="A23" s="94"/>
      <c r="B23" s="378" t="s">
        <v>315</v>
      </c>
      <c r="C23" s="379"/>
      <c r="D23" s="379"/>
      <c r="E23" s="276"/>
      <c r="F23" s="385">
        <f>'[2]All Branches Combined'!$O$312</f>
        <v>4102889.8</v>
      </c>
      <c r="G23" s="107">
        <v>3809468.8</v>
      </c>
    </row>
    <row r="24" spans="1:7" ht="19" x14ac:dyDescent="0.45">
      <c r="A24" s="94"/>
      <c r="B24" s="378" t="s">
        <v>368</v>
      </c>
      <c r="C24" s="379"/>
      <c r="D24" s="379"/>
      <c r="E24" s="276"/>
      <c r="F24" s="385">
        <f>'[2]All Branches Combined'!$O$321</f>
        <v>148148</v>
      </c>
      <c r="G24" s="107">
        <v>148148</v>
      </c>
    </row>
    <row r="25" spans="1:7" ht="19.5" thickBot="1" x14ac:dyDescent="0.5">
      <c r="A25" s="94"/>
      <c r="B25" s="785" t="s">
        <v>32</v>
      </c>
      <c r="C25" s="786"/>
      <c r="D25" s="786"/>
      <c r="E25" s="787"/>
      <c r="F25" s="164">
        <f>SUM(F21:F24)</f>
        <v>21449619.800000001</v>
      </c>
      <c r="G25" s="164">
        <f>SUM(G21:G24)</f>
        <v>21967668.800000001</v>
      </c>
    </row>
    <row r="26" spans="1:7" ht="19.5" thickTop="1" x14ac:dyDescent="0.45">
      <c r="A26" s="94"/>
      <c r="B26" s="94"/>
      <c r="C26" s="94"/>
      <c r="D26" s="94"/>
      <c r="E26" s="94"/>
      <c r="F26" s="128"/>
      <c r="G26" s="347"/>
    </row>
    <row r="27" spans="1:7" ht="19" x14ac:dyDescent="0.45">
      <c r="A27" s="94" t="s">
        <v>233</v>
      </c>
      <c r="B27" s="392" t="s">
        <v>9</v>
      </c>
      <c r="C27" s="94"/>
      <c r="D27" s="379"/>
      <c r="E27" s="379"/>
      <c r="F27" s="128"/>
      <c r="G27" s="128"/>
    </row>
    <row r="28" spans="1:7" ht="19" x14ac:dyDescent="0.45">
      <c r="A28" s="94"/>
      <c r="B28" s="392"/>
      <c r="C28" s="94"/>
      <c r="D28" s="379"/>
      <c r="E28" s="379"/>
      <c r="F28" s="338"/>
      <c r="G28" s="338"/>
    </row>
    <row r="29" spans="1:7" ht="38" x14ac:dyDescent="0.45">
      <c r="A29" s="94"/>
      <c r="B29" s="753" t="s">
        <v>37</v>
      </c>
      <c r="C29" s="762"/>
      <c r="D29" s="762"/>
      <c r="E29" s="754"/>
      <c r="F29" s="384" t="str">
        <f>'NOTE (4-12)'!$E$59</f>
        <v>As at March 31, 2025</v>
      </c>
      <c r="G29" s="384" t="str">
        <f>'NOTE (4-12)'!$F$59</f>
        <v>As at March 31, 2024</v>
      </c>
    </row>
    <row r="30" spans="1:7" ht="19" x14ac:dyDescent="0.45">
      <c r="A30" s="94"/>
      <c r="B30" s="307" t="s">
        <v>41</v>
      </c>
      <c r="C30" s="348"/>
      <c r="D30" s="348"/>
      <c r="E30" s="309"/>
      <c r="F30" s="107">
        <f>'[2]All Branches Combined'!$O$296</f>
        <v>29404789.983884878</v>
      </c>
      <c r="G30" s="107">
        <v>28412958.02</v>
      </c>
    </row>
    <row r="31" spans="1:7" ht="19" x14ac:dyDescent="0.45">
      <c r="A31" s="94"/>
      <c r="B31" s="378" t="s">
        <v>836</v>
      </c>
      <c r="C31" s="507"/>
      <c r="D31" s="507"/>
      <c r="E31" s="276"/>
      <c r="F31" s="107">
        <v>2735891.4361151247</v>
      </c>
      <c r="G31" s="107">
        <v>0</v>
      </c>
    </row>
    <row r="32" spans="1:7" ht="19" x14ac:dyDescent="0.45">
      <c r="A32" s="94"/>
      <c r="B32" s="378" t="s">
        <v>42</v>
      </c>
      <c r="C32" s="379"/>
      <c r="D32" s="379"/>
      <c r="E32" s="276"/>
      <c r="F32" s="107">
        <f>'[2]All Branches Combined'!$O$297</f>
        <v>111728093.47</v>
      </c>
      <c r="G32" s="107">
        <v>66619242.120000005</v>
      </c>
    </row>
    <row r="33" spans="1:8" ht="19" x14ac:dyDescent="0.45">
      <c r="A33" s="94"/>
      <c r="B33" s="349" t="s">
        <v>151</v>
      </c>
      <c r="C33" s="350"/>
      <c r="D33" s="350"/>
      <c r="E33" s="351"/>
      <c r="F33" s="107">
        <f>'[2]All Branches Combined'!$O$299</f>
        <v>63556227.380000003</v>
      </c>
      <c r="G33" s="107">
        <v>27724624.550000004</v>
      </c>
    </row>
    <row r="34" spans="1:8" ht="19.5" thickBot="1" x14ac:dyDescent="0.5">
      <c r="A34" s="94"/>
      <c r="B34" s="785" t="s">
        <v>32</v>
      </c>
      <c r="C34" s="786"/>
      <c r="D34" s="786"/>
      <c r="E34" s="787"/>
      <c r="F34" s="93">
        <f>SUM(F30:F33)</f>
        <v>207425002.26999998</v>
      </c>
      <c r="G34" s="93">
        <f>SUM(G30:G33)</f>
        <v>122756824.69</v>
      </c>
    </row>
    <row r="35" spans="1:8" ht="19.5" thickTop="1" x14ac:dyDescent="0.45">
      <c r="A35" s="94"/>
      <c r="B35" s="94"/>
      <c r="C35" s="94"/>
      <c r="D35" s="94"/>
      <c r="E35" s="94"/>
      <c r="F35" s="3"/>
      <c r="G35" s="3"/>
    </row>
    <row r="36" spans="1:8" ht="19" x14ac:dyDescent="0.45">
      <c r="A36" s="94" t="s">
        <v>234</v>
      </c>
      <c r="B36" s="840" t="s">
        <v>170</v>
      </c>
      <c r="C36" s="840"/>
      <c r="D36" s="840"/>
      <c r="E36" s="840"/>
      <c r="F36" s="3"/>
      <c r="G36" s="3"/>
    </row>
    <row r="37" spans="1:8" ht="19" x14ac:dyDescent="0.45">
      <c r="A37" s="94"/>
      <c r="B37" s="390"/>
      <c r="C37" s="390"/>
      <c r="D37" s="390"/>
      <c r="E37" s="390"/>
      <c r="F37" s="3"/>
      <c r="G37" s="3"/>
    </row>
    <row r="38" spans="1:8" ht="19" x14ac:dyDescent="0.45">
      <c r="A38" s="94"/>
      <c r="B38" s="640" t="s">
        <v>37</v>
      </c>
      <c r="C38" s="796" t="s">
        <v>662</v>
      </c>
      <c r="D38" s="796"/>
      <c r="E38" s="796"/>
      <c r="F38" s="796"/>
      <c r="G38" s="796"/>
      <c r="H38" s="614" t="s">
        <v>768</v>
      </c>
    </row>
    <row r="39" spans="1:8" ht="19" x14ac:dyDescent="0.45">
      <c r="A39" s="94"/>
      <c r="B39" s="839"/>
      <c r="C39" s="796"/>
      <c r="D39" s="796"/>
      <c r="E39" s="796"/>
      <c r="F39" s="796"/>
      <c r="G39" s="796"/>
      <c r="H39" s="616"/>
    </row>
    <row r="40" spans="1:8" ht="38" x14ac:dyDescent="0.45">
      <c r="A40" s="94"/>
      <c r="B40" s="643"/>
      <c r="C40" s="384" t="s">
        <v>351</v>
      </c>
      <c r="D40" s="384" t="s">
        <v>352</v>
      </c>
      <c r="E40" s="382" t="s">
        <v>346</v>
      </c>
      <c r="F40" s="382" t="s">
        <v>347</v>
      </c>
      <c r="G40" s="384" t="s">
        <v>348</v>
      </c>
      <c r="H40" s="615"/>
    </row>
    <row r="41" spans="1:8" ht="19" x14ac:dyDescent="0.45">
      <c r="A41" s="94"/>
      <c r="B41" s="96" t="s">
        <v>353</v>
      </c>
      <c r="C41" s="96">
        <v>162608439.34999999</v>
      </c>
      <c r="D41" s="96">
        <v>34450432.07</v>
      </c>
      <c r="E41" s="96">
        <v>13521386.68</v>
      </c>
      <c r="F41" s="96">
        <v>674128.70999999717</v>
      </c>
      <c r="G41" s="97">
        <v>12716252.710000003</v>
      </c>
      <c r="H41" s="98">
        <f>SUM(C41:G41)</f>
        <v>223970639.52000001</v>
      </c>
    </row>
    <row r="42" spans="1:8" ht="19" x14ac:dyDescent="0.45">
      <c r="A42" s="94"/>
      <c r="B42" s="96" t="s">
        <v>354</v>
      </c>
      <c r="C42" s="96">
        <v>0</v>
      </c>
      <c r="D42" s="99">
        <v>0</v>
      </c>
      <c r="E42" s="99">
        <v>0</v>
      </c>
      <c r="F42" s="96">
        <v>0</v>
      </c>
      <c r="G42" s="97">
        <v>0</v>
      </c>
      <c r="H42" s="100">
        <f>SUM(C42:G42)</f>
        <v>0</v>
      </c>
    </row>
    <row r="43" spans="1:8" ht="19" x14ac:dyDescent="0.45">
      <c r="A43" s="94"/>
      <c r="B43" s="96" t="s">
        <v>355</v>
      </c>
      <c r="C43" s="96"/>
      <c r="D43" s="96"/>
      <c r="E43" s="96"/>
      <c r="F43" s="96"/>
      <c r="G43" s="97"/>
      <c r="H43" s="100"/>
    </row>
    <row r="44" spans="1:8" ht="19" x14ac:dyDescent="0.45">
      <c r="A44" s="94"/>
      <c r="B44" s="96" t="s">
        <v>356</v>
      </c>
      <c r="C44" s="96">
        <v>4219761</v>
      </c>
      <c r="D44" s="96">
        <v>0</v>
      </c>
      <c r="E44" s="96">
        <v>2068224.02</v>
      </c>
      <c r="F44" s="96">
        <v>23195606.120000001</v>
      </c>
      <c r="G44" s="97">
        <v>0</v>
      </c>
      <c r="H44" s="100">
        <f>SUM(C44:G44)</f>
        <v>29483591.140000001</v>
      </c>
    </row>
    <row r="45" spans="1:8" ht="19" x14ac:dyDescent="0.45">
      <c r="A45" s="94"/>
      <c r="B45" s="101" t="s">
        <v>357</v>
      </c>
      <c r="C45" s="96">
        <v>0</v>
      </c>
      <c r="D45" s="96">
        <v>0</v>
      </c>
      <c r="E45" s="96">
        <v>0</v>
      </c>
      <c r="F45" s="96">
        <v>0</v>
      </c>
      <c r="G45" s="97">
        <v>0</v>
      </c>
      <c r="H45" s="100">
        <f>SUM(C45:G45)</f>
        <v>0</v>
      </c>
    </row>
    <row r="46" spans="1:8" s="129" customFormat="1" ht="19.5" thickBot="1" x14ac:dyDescent="0.5">
      <c r="A46" s="94"/>
      <c r="B46" s="393" t="s">
        <v>32</v>
      </c>
      <c r="C46" s="102">
        <f t="shared" ref="C46:H46" si="0">SUM(C41:C45)</f>
        <v>166828200.34999999</v>
      </c>
      <c r="D46" s="102">
        <f t="shared" si="0"/>
        <v>34450432.07</v>
      </c>
      <c r="E46" s="102">
        <f t="shared" si="0"/>
        <v>15589610.699999999</v>
      </c>
      <c r="F46" s="102">
        <f t="shared" si="0"/>
        <v>23869734.829999998</v>
      </c>
      <c r="G46" s="102">
        <f t="shared" si="0"/>
        <v>12716252.710000003</v>
      </c>
      <c r="H46" s="103">
        <f t="shared" si="0"/>
        <v>253454230.66000003</v>
      </c>
    </row>
    <row r="47" spans="1:8" ht="19.5" thickTop="1" x14ac:dyDescent="0.45">
      <c r="A47" s="94"/>
      <c r="B47" s="390"/>
      <c r="C47" s="390"/>
      <c r="D47" s="390"/>
      <c r="E47" s="390"/>
      <c r="F47" s="3"/>
      <c r="G47" s="3"/>
    </row>
    <row r="48" spans="1:8" ht="19" x14ac:dyDescent="0.45">
      <c r="A48" s="94"/>
      <c r="B48" s="640" t="s">
        <v>37</v>
      </c>
      <c r="C48" s="796" t="s">
        <v>662</v>
      </c>
      <c r="D48" s="796"/>
      <c r="E48" s="796"/>
      <c r="F48" s="796"/>
      <c r="G48" s="796"/>
      <c r="H48" s="614" t="s">
        <v>459</v>
      </c>
    </row>
    <row r="49" spans="1:8" ht="19" x14ac:dyDescent="0.45">
      <c r="A49" s="94"/>
      <c r="B49" s="839"/>
      <c r="C49" s="796"/>
      <c r="D49" s="796"/>
      <c r="E49" s="796"/>
      <c r="F49" s="796"/>
      <c r="G49" s="796"/>
      <c r="H49" s="616"/>
    </row>
    <row r="50" spans="1:8" ht="38" x14ac:dyDescent="0.45">
      <c r="A50" s="94"/>
      <c r="B50" s="643"/>
      <c r="C50" s="384" t="s">
        <v>351</v>
      </c>
      <c r="D50" s="384" t="s">
        <v>352</v>
      </c>
      <c r="E50" s="382" t="s">
        <v>346</v>
      </c>
      <c r="F50" s="382" t="s">
        <v>347</v>
      </c>
      <c r="G50" s="384" t="s">
        <v>348</v>
      </c>
      <c r="H50" s="835"/>
    </row>
    <row r="51" spans="1:8" ht="19" x14ac:dyDescent="0.45">
      <c r="A51" s="94"/>
      <c r="B51" s="96" t="s">
        <v>353</v>
      </c>
      <c r="C51" s="96">
        <v>153682395</v>
      </c>
      <c r="D51" s="96">
        <v>23341410</v>
      </c>
      <c r="E51" s="96">
        <v>23397162</v>
      </c>
      <c r="F51" s="96">
        <v>7662560</v>
      </c>
      <c r="G51" s="97">
        <v>0</v>
      </c>
      <c r="H51" s="98">
        <f>SUM(C51:G51)</f>
        <v>208083527</v>
      </c>
    </row>
    <row r="52" spans="1:8" ht="19" x14ac:dyDescent="0.45">
      <c r="A52" s="94"/>
      <c r="B52" s="96" t="s">
        <v>354</v>
      </c>
      <c r="C52" s="96">
        <v>0</v>
      </c>
      <c r="D52" s="96">
        <v>0</v>
      </c>
      <c r="E52" s="96">
        <v>0</v>
      </c>
      <c r="F52" s="96">
        <v>0</v>
      </c>
      <c r="G52" s="97">
        <v>0</v>
      </c>
      <c r="H52" s="100">
        <f>SUM(C52:G52)</f>
        <v>0</v>
      </c>
    </row>
    <row r="53" spans="1:8" ht="19" x14ac:dyDescent="0.45">
      <c r="A53" s="94"/>
      <c r="B53" s="96" t="s">
        <v>355</v>
      </c>
      <c r="C53" s="96"/>
      <c r="D53" s="96"/>
      <c r="E53" s="96"/>
      <c r="F53" s="96"/>
      <c r="G53" s="97"/>
      <c r="H53" s="100">
        <f>SUM(C53:G53)</f>
        <v>0</v>
      </c>
    </row>
    <row r="54" spans="1:8" ht="19" x14ac:dyDescent="0.45">
      <c r="A54" s="94"/>
      <c r="B54" s="96" t="s">
        <v>356</v>
      </c>
      <c r="C54" s="96">
        <v>0</v>
      </c>
      <c r="D54" s="96">
        <v>0</v>
      </c>
      <c r="E54" s="96">
        <v>0</v>
      </c>
      <c r="F54" s="96">
        <v>0</v>
      </c>
      <c r="G54" s="97">
        <v>0</v>
      </c>
      <c r="H54" s="100">
        <f>SUM(C54:G54)</f>
        <v>0</v>
      </c>
    </row>
    <row r="55" spans="1:8" ht="19" x14ac:dyDescent="0.45">
      <c r="A55" s="94"/>
      <c r="B55" s="101" t="s">
        <v>357</v>
      </c>
      <c r="C55" s="96">
        <v>0</v>
      </c>
      <c r="D55" s="96">
        <v>0</v>
      </c>
      <c r="E55" s="96">
        <v>0</v>
      </c>
      <c r="F55" s="96">
        <v>0</v>
      </c>
      <c r="G55" s="97">
        <v>0</v>
      </c>
      <c r="H55" s="100">
        <f>SUM(C55:G55)</f>
        <v>0</v>
      </c>
    </row>
    <row r="56" spans="1:8" ht="19.5" thickBot="1" x14ac:dyDescent="0.5">
      <c r="A56" s="105"/>
      <c r="B56" s="393" t="s">
        <v>32</v>
      </c>
      <c r="C56" s="102">
        <f t="shared" ref="C56:H56" si="1">SUM(C51:C55)</f>
        <v>153682395</v>
      </c>
      <c r="D56" s="102">
        <f t="shared" si="1"/>
        <v>23341410</v>
      </c>
      <c r="E56" s="102">
        <f t="shared" si="1"/>
        <v>23397162</v>
      </c>
      <c r="F56" s="102">
        <f t="shared" si="1"/>
        <v>7662560</v>
      </c>
      <c r="G56" s="102">
        <f t="shared" si="1"/>
        <v>0</v>
      </c>
      <c r="H56" s="103">
        <f t="shared" si="1"/>
        <v>208083527</v>
      </c>
    </row>
    <row r="57" spans="1:8" ht="18.75" customHeight="1" thickTop="1" x14ac:dyDescent="0.45">
      <c r="A57" s="105"/>
      <c r="B57" s="129"/>
    </row>
    <row r="58" spans="1:8" ht="19" x14ac:dyDescent="0.45">
      <c r="A58" s="94" t="s">
        <v>235</v>
      </c>
      <c r="B58" s="392" t="s">
        <v>6</v>
      </c>
      <c r="C58" s="94"/>
      <c r="D58" s="94"/>
      <c r="E58" s="379"/>
      <c r="F58" s="128"/>
      <c r="G58" s="128"/>
    </row>
    <row r="59" spans="1:8" ht="19" x14ac:dyDescent="0.45">
      <c r="A59" s="94"/>
      <c r="B59" s="392"/>
      <c r="C59" s="94"/>
      <c r="D59" s="94"/>
      <c r="E59" s="379"/>
      <c r="F59" s="338"/>
      <c r="G59" s="338"/>
    </row>
    <row r="60" spans="1:8" ht="38" x14ac:dyDescent="0.45">
      <c r="A60" s="94"/>
      <c r="B60" s="753" t="str">
        <f>B6</f>
        <v>Particulars</v>
      </c>
      <c r="C60" s="762"/>
      <c r="D60" s="762"/>
      <c r="E60" s="754"/>
      <c r="F60" s="384" t="str">
        <f>F6</f>
        <v>As at March 31, 2025</v>
      </c>
      <c r="G60" s="384" t="str">
        <f>G6</f>
        <v>As at March 31, 2024</v>
      </c>
    </row>
    <row r="61" spans="1:8" ht="19" x14ac:dyDescent="0.45">
      <c r="A61" s="94"/>
      <c r="B61" s="378" t="s">
        <v>152</v>
      </c>
      <c r="C61" s="94"/>
      <c r="D61" s="94"/>
      <c r="E61" s="379"/>
      <c r="F61" s="113">
        <f>'[2]All Branches Combined'!$O$307</f>
        <v>600</v>
      </c>
      <c r="G61" s="107">
        <v>25096.55</v>
      </c>
    </row>
    <row r="62" spans="1:8" ht="19" x14ac:dyDescent="0.45">
      <c r="A62" s="94"/>
      <c r="B62" s="378" t="s">
        <v>153</v>
      </c>
      <c r="C62" s="94"/>
      <c r="D62" s="94"/>
      <c r="E62" s="379"/>
      <c r="F62" s="298">
        <f>'[2]All Branches Combined'!$O$308</f>
        <v>43816</v>
      </c>
      <c r="G62" s="416">
        <v>23193</v>
      </c>
    </row>
    <row r="63" spans="1:8" ht="19.5" thickBot="1" x14ac:dyDescent="0.5">
      <c r="A63" s="94"/>
      <c r="B63" s="785" t="s">
        <v>32</v>
      </c>
      <c r="C63" s="786"/>
      <c r="D63" s="786"/>
      <c r="E63" s="787"/>
      <c r="F63" s="164">
        <f>SUM(F61:F62)</f>
        <v>44416</v>
      </c>
      <c r="G63" s="346">
        <f>SUM(G61:G62)</f>
        <v>48289.55</v>
      </c>
    </row>
    <row r="64" spans="1:8" ht="19.5" thickTop="1" x14ac:dyDescent="0.45">
      <c r="A64" s="94"/>
      <c r="B64" s="131"/>
      <c r="C64" s="379"/>
      <c r="D64" s="379"/>
      <c r="E64" s="379"/>
      <c r="F64" s="106"/>
      <c r="G64" s="106"/>
    </row>
    <row r="65" spans="1:8" ht="19" x14ac:dyDescent="0.45">
      <c r="A65" s="94" t="s">
        <v>236</v>
      </c>
      <c r="B65" s="392" t="s">
        <v>10</v>
      </c>
      <c r="C65" s="94"/>
      <c r="D65" s="94"/>
      <c r="E65" s="379"/>
      <c r="F65" s="128"/>
      <c r="G65" s="128"/>
    </row>
    <row r="66" spans="1:8" ht="19" x14ac:dyDescent="0.45">
      <c r="A66" s="94"/>
      <c r="B66" s="392"/>
      <c r="C66" s="94"/>
      <c r="D66" s="94"/>
      <c r="E66" s="379"/>
      <c r="F66" s="338"/>
      <c r="G66" s="338"/>
    </row>
    <row r="67" spans="1:8" ht="38" x14ac:dyDescent="0.45">
      <c r="A67" s="94"/>
      <c r="B67" s="753" t="str">
        <f>$B$60</f>
        <v>Particulars</v>
      </c>
      <c r="C67" s="762"/>
      <c r="D67" s="762"/>
      <c r="E67" s="754"/>
      <c r="F67" s="384" t="str">
        <f>$F$60</f>
        <v>As at March 31, 2025</v>
      </c>
      <c r="G67" s="384" t="str">
        <f>$G$60</f>
        <v>As at March 31, 2024</v>
      </c>
    </row>
    <row r="68" spans="1:8" ht="19" x14ac:dyDescent="0.45">
      <c r="A68" s="94"/>
      <c r="B68" s="307" t="s">
        <v>155</v>
      </c>
      <c r="C68" s="348"/>
      <c r="D68" s="348"/>
      <c r="E68" s="309"/>
      <c r="F68" s="107">
        <f>'[2]All Branches Combined'!$O$318+'[2]All Branches Combined'!$O$324-F69+24</f>
        <v>14820819.780000001</v>
      </c>
      <c r="G68" s="107">
        <f>29795116.5-G69</f>
        <v>7446248.5</v>
      </c>
      <c r="H68" s="311"/>
    </row>
    <row r="69" spans="1:8" ht="19" x14ac:dyDescent="0.45">
      <c r="A69" s="94"/>
      <c r="B69" s="378" t="s">
        <v>810</v>
      </c>
      <c r="C69" s="507"/>
      <c r="D69" s="507"/>
      <c r="E69" s="276"/>
      <c r="F69" s="107">
        <v>32270745</v>
      </c>
      <c r="G69" s="107">
        <f>22348868</f>
        <v>22348868</v>
      </c>
      <c r="H69" s="311"/>
    </row>
    <row r="70" spans="1:8" ht="19" x14ac:dyDescent="0.45">
      <c r="A70" s="94"/>
      <c r="B70" s="378" t="s">
        <v>156</v>
      </c>
      <c r="C70" s="379"/>
      <c r="D70" s="379"/>
      <c r="E70" s="276"/>
      <c r="F70" s="107">
        <f>'[2]All Branches Combined'!$O$331</f>
        <v>93808.569999999992</v>
      </c>
      <c r="G70" s="107">
        <v>1708455.08</v>
      </c>
    </row>
    <row r="71" spans="1:8" ht="19" x14ac:dyDescent="0.45">
      <c r="A71" s="94"/>
      <c r="B71" s="349" t="s">
        <v>663</v>
      </c>
      <c r="C71" s="350"/>
      <c r="D71" s="350"/>
      <c r="E71" s="351"/>
      <c r="F71" s="107">
        <f>'[2]All Branches Combined'!$O$319</f>
        <v>9549877.8000000007</v>
      </c>
      <c r="G71" s="107">
        <v>5852359.5300000003</v>
      </c>
    </row>
    <row r="72" spans="1:8" ht="19.5" thickBot="1" x14ac:dyDescent="0.5">
      <c r="A72" s="94"/>
      <c r="B72" s="785" t="s">
        <v>32</v>
      </c>
      <c r="C72" s="786"/>
      <c r="D72" s="786"/>
      <c r="E72" s="787"/>
      <c r="F72" s="93">
        <f>SUM(F68:F71)+0.01</f>
        <v>56735251.160000004</v>
      </c>
      <c r="G72" s="93">
        <f>SUM(G68:G71)+10</f>
        <v>37355941.109999999</v>
      </c>
    </row>
    <row r="73" spans="1:8" ht="19.5" thickTop="1" x14ac:dyDescent="0.45">
      <c r="A73" s="94"/>
      <c r="B73" s="111"/>
      <c r="C73" s="111"/>
      <c r="D73" s="111"/>
      <c r="E73" s="111"/>
      <c r="F73" s="3"/>
      <c r="G73" s="3"/>
    </row>
    <row r="74" spans="1:8" ht="19" x14ac:dyDescent="0.45">
      <c r="A74" s="94"/>
      <c r="B74" s="141" t="s">
        <v>474</v>
      </c>
      <c r="C74" s="10"/>
      <c r="D74" s="10"/>
      <c r="E74" s="10"/>
      <c r="F74" s="10"/>
      <c r="G74" s="3"/>
    </row>
    <row r="75" spans="1:8" ht="19" x14ac:dyDescent="0.45">
      <c r="A75" s="94"/>
      <c r="B75" s="640" t="s">
        <v>37</v>
      </c>
      <c r="C75" s="614" t="s">
        <v>768</v>
      </c>
      <c r="D75" s="614" t="s">
        <v>344</v>
      </c>
      <c r="E75" s="614" t="s">
        <v>459</v>
      </c>
      <c r="F75" s="614" t="s">
        <v>344</v>
      </c>
      <c r="G75" s="3"/>
    </row>
    <row r="76" spans="1:8" ht="19" x14ac:dyDescent="0.45">
      <c r="A76" s="94"/>
      <c r="B76" s="643"/>
      <c r="C76" s="616"/>
      <c r="D76" s="615"/>
      <c r="E76" s="615"/>
      <c r="F76" s="615"/>
      <c r="G76" s="3"/>
    </row>
    <row r="77" spans="1:8" ht="19" x14ac:dyDescent="0.45">
      <c r="A77" s="94"/>
      <c r="B77" s="225" t="s">
        <v>668</v>
      </c>
      <c r="C77" s="89">
        <f>+F71</f>
        <v>9549877.8000000007</v>
      </c>
      <c r="D77" s="108">
        <f>C77/C78*100</f>
        <v>100</v>
      </c>
      <c r="E77" s="255">
        <f>+G71</f>
        <v>5852359.5300000003</v>
      </c>
      <c r="F77" s="108">
        <f>E77/E78*100</f>
        <v>100</v>
      </c>
      <c r="G77" s="3"/>
    </row>
    <row r="78" spans="1:8" ht="19" x14ac:dyDescent="0.45">
      <c r="A78" s="94"/>
      <c r="B78" s="299" t="s">
        <v>32</v>
      </c>
      <c r="C78" s="89">
        <f>SUM(C77)</f>
        <v>9549877.8000000007</v>
      </c>
      <c r="D78" s="108">
        <f>SUM(D77:D77)</f>
        <v>100</v>
      </c>
      <c r="E78" s="478">
        <f>E77</f>
        <v>5852359.5300000003</v>
      </c>
      <c r="F78" s="108">
        <f>F77</f>
        <v>100</v>
      </c>
      <c r="G78" s="3"/>
    </row>
    <row r="79" spans="1:8" ht="19" x14ac:dyDescent="0.45">
      <c r="A79" s="94"/>
      <c r="B79" s="111"/>
      <c r="C79" s="111"/>
      <c r="D79" s="111"/>
      <c r="E79" s="111"/>
      <c r="F79" s="3"/>
      <c r="G79" s="3"/>
    </row>
    <row r="80" spans="1:8" ht="19" x14ac:dyDescent="0.45">
      <c r="A80" s="94" t="s">
        <v>237</v>
      </c>
      <c r="B80" s="392" t="s">
        <v>14</v>
      </c>
      <c r="C80" s="94"/>
      <c r="D80" s="94"/>
      <c r="E80" s="379"/>
      <c r="F80" s="128"/>
      <c r="G80" s="128"/>
    </row>
    <row r="81" spans="1:7" ht="19" x14ac:dyDescent="0.45">
      <c r="A81" s="94"/>
      <c r="B81" s="392"/>
      <c r="C81" s="94"/>
      <c r="D81" s="94"/>
      <c r="E81" s="379"/>
      <c r="F81" s="338"/>
      <c r="G81" s="338"/>
    </row>
    <row r="82" spans="1:7" ht="38" x14ac:dyDescent="0.45">
      <c r="A82" s="94"/>
      <c r="B82" s="785" t="str">
        <f>$B$60</f>
        <v>Particulars</v>
      </c>
      <c r="C82" s="786"/>
      <c r="D82" s="786"/>
      <c r="E82" s="787"/>
      <c r="F82" s="384" t="str">
        <f>$F$60</f>
        <v>As at March 31, 2025</v>
      </c>
      <c r="G82" s="384" t="str">
        <f>$G$60</f>
        <v>As at March 31, 2024</v>
      </c>
    </row>
    <row r="83" spans="1:7" ht="19" x14ac:dyDescent="0.45">
      <c r="A83" s="94"/>
      <c r="B83" s="378" t="s">
        <v>313</v>
      </c>
      <c r="C83" s="111"/>
      <c r="D83" s="111"/>
      <c r="E83" s="274"/>
      <c r="F83" s="107">
        <f>21768914.8-F84</f>
        <v>6594002</v>
      </c>
      <c r="G83" s="107">
        <f>17465890-G84</f>
        <v>11434398.199999999</v>
      </c>
    </row>
    <row r="84" spans="1:7" ht="19" x14ac:dyDescent="0.45">
      <c r="A84" s="94"/>
      <c r="B84" s="378" t="s">
        <v>811</v>
      </c>
      <c r="C84" s="111"/>
      <c r="D84" s="111"/>
      <c r="E84" s="274"/>
      <c r="F84" s="107">
        <v>15174912.800000001</v>
      </c>
      <c r="G84" s="107">
        <v>6031491.7999999998</v>
      </c>
    </row>
    <row r="85" spans="1:7" ht="19" x14ac:dyDescent="0.45">
      <c r="A85" s="94"/>
      <c r="B85" s="378" t="s">
        <v>154</v>
      </c>
      <c r="C85" s="379"/>
      <c r="D85" s="379"/>
      <c r="E85" s="276"/>
      <c r="F85" s="107">
        <f>'[2]All Branches Combined'!$O$315</f>
        <v>1785094.0999999999</v>
      </c>
      <c r="G85" s="107">
        <v>844067.75</v>
      </c>
    </row>
    <row r="86" spans="1:7" ht="19" x14ac:dyDescent="0.45">
      <c r="A86" s="94"/>
      <c r="B86" s="378" t="s">
        <v>365</v>
      </c>
      <c r="C86" s="379"/>
      <c r="D86" s="379"/>
      <c r="E86" s="276"/>
      <c r="F86" s="107">
        <f>'[2]All Branches Combined'!$O$314+'[2]All Branches Combined'!$O$320+'[2]All Branches Combined'!$O$322+'[2]All Branches Combined'!$O$34</f>
        <v>16523010.039999999</v>
      </c>
      <c r="G86" s="107">
        <v>16700496.470000001</v>
      </c>
    </row>
    <row r="87" spans="1:7" ht="19" x14ac:dyDescent="0.45">
      <c r="A87" s="94"/>
      <c r="B87" s="378" t="s">
        <v>146</v>
      </c>
      <c r="C87" s="379"/>
      <c r="D87" s="379"/>
      <c r="E87" s="276"/>
      <c r="F87" s="107">
        <f>'[2]All Branches Combined'!$O$316</f>
        <v>2234985.2000000002</v>
      </c>
      <c r="G87" s="107">
        <v>1198959.8</v>
      </c>
    </row>
    <row r="88" spans="1:7" ht="19.5" thickBot="1" x14ac:dyDescent="0.5">
      <c r="A88" s="94"/>
      <c r="B88" s="785" t="s">
        <v>32</v>
      </c>
      <c r="C88" s="786"/>
      <c r="D88" s="786"/>
      <c r="E88" s="787"/>
      <c r="F88" s="93">
        <f>SUM(F83:F87)+0.01</f>
        <v>42312004.149999999</v>
      </c>
      <c r="G88" s="93">
        <f>SUM(G83:G87)+0.01</f>
        <v>36209414.029999994</v>
      </c>
    </row>
  </sheetData>
  <mergeCells count="26">
    <mergeCell ref="A2:H2"/>
    <mergeCell ref="B36:E36"/>
    <mergeCell ref="H38:H40"/>
    <mergeCell ref="B6:E6"/>
    <mergeCell ref="B38:B40"/>
    <mergeCell ref="C38:G39"/>
    <mergeCell ref="H48:H50"/>
    <mergeCell ref="B16:E16"/>
    <mergeCell ref="B8:E8"/>
    <mergeCell ref="B20:E20"/>
    <mergeCell ref="B25:E25"/>
    <mergeCell ref="B29:E29"/>
    <mergeCell ref="B48:B50"/>
    <mergeCell ref="C48:G49"/>
    <mergeCell ref="F75:F76"/>
    <mergeCell ref="B63:E63"/>
    <mergeCell ref="B34:E34"/>
    <mergeCell ref="B72:E72"/>
    <mergeCell ref="B88:E88"/>
    <mergeCell ref="B60:E60"/>
    <mergeCell ref="B67:E67"/>
    <mergeCell ref="B82:E82"/>
    <mergeCell ref="B75:B76"/>
    <mergeCell ref="C75:C76"/>
    <mergeCell ref="D75:D76"/>
    <mergeCell ref="E75:E76"/>
  </mergeCells>
  <pageMargins left="0.31496062992125984" right="0.23622047244094491" top="0.72" bottom="0.35433070866141736" header="0.65" footer="0.31496062992125984"/>
  <pageSetup scale="50" orientation="portrait" r:id="rId1"/>
  <rowBreaks count="1" manualBreakCount="1">
    <brk id="56" max="7" man="1"/>
  </rowBreaks>
  <ignoredErrors>
    <ignoredError sqref="E7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XFD154"/>
  <sheetViews>
    <sheetView showGridLines="0" view="pageBreakPreview" zoomScale="55" zoomScaleNormal="55" zoomScaleSheetLayoutView="55" workbookViewId="0">
      <selection activeCell="C12" sqref="C12"/>
    </sheetView>
  </sheetViews>
  <sheetFormatPr defaultRowHeight="12.5" x14ac:dyDescent="0.25"/>
  <cols>
    <col min="1" max="1" width="11.453125" style="95" bestFit="1" customWidth="1"/>
    <col min="2" max="2" width="81.453125" style="95" customWidth="1"/>
    <col min="3" max="3" width="27.453125" style="95" customWidth="1"/>
    <col min="4" max="4" width="28" style="95" customWidth="1"/>
    <col min="5" max="5" width="34.7265625" style="95" customWidth="1"/>
    <col min="6" max="6" width="15.54296875" style="95" bestFit="1" customWidth="1"/>
    <col min="7" max="7" width="14.54296875" style="95" bestFit="1" customWidth="1"/>
    <col min="8" max="8" width="25.26953125" style="95" customWidth="1"/>
    <col min="9" max="9" width="24.1796875" style="95" customWidth="1"/>
    <col min="10" max="13" width="8.81640625" style="95"/>
    <col min="14" max="14" width="11.1796875" style="95" bestFit="1" customWidth="1"/>
    <col min="15" max="16383" width="8.81640625" style="95"/>
    <col min="16384" max="16384" width="9" style="95" bestFit="1" customWidth="1"/>
  </cols>
  <sheetData>
    <row r="1" spans="1:11 16384:16384" ht="20" x14ac:dyDescent="0.4">
      <c r="A1" s="167" t="str">
        <f>'Note (13-20)'!A1</f>
        <v>ABC INDIA LIMITED</v>
      </c>
      <c r="B1" s="337"/>
      <c r="C1" s="337"/>
      <c r="D1" s="337"/>
      <c r="E1" s="337"/>
    </row>
    <row r="2" spans="1:11 16384:16384" ht="19.5" thickBot="1" x14ac:dyDescent="0.5">
      <c r="A2" s="808" t="str">
        <f>'Note (13-20)'!A2</f>
        <v>Notes to financial statements for the year ended at 31st March 2025</v>
      </c>
      <c r="B2" s="808"/>
      <c r="C2" s="808"/>
      <c r="D2" s="808"/>
      <c r="E2" s="808"/>
    </row>
    <row r="3" spans="1:11 16384:16384" ht="18.5" thickTop="1" x14ac:dyDescent="0.4">
      <c r="A3" s="352"/>
      <c r="B3" s="352"/>
      <c r="C3" s="352"/>
      <c r="D3" s="352"/>
      <c r="E3" s="352"/>
      <c r="F3" s="312"/>
    </row>
    <row r="4" spans="1:11 16384:16384" ht="19" x14ac:dyDescent="0.45">
      <c r="A4" s="94" t="s">
        <v>238</v>
      </c>
      <c r="B4" s="392" t="s">
        <v>15</v>
      </c>
      <c r="C4" s="128"/>
      <c r="D4" s="170"/>
    </row>
    <row r="5" spans="1:11 16384:16384" ht="19" x14ac:dyDescent="0.45">
      <c r="A5" s="94"/>
      <c r="B5" s="392"/>
      <c r="C5" s="128"/>
      <c r="D5" s="338"/>
    </row>
    <row r="6" spans="1:11 16384:16384" ht="57" x14ac:dyDescent="0.45">
      <c r="A6" s="94"/>
      <c r="B6" s="377" t="s">
        <v>37</v>
      </c>
      <c r="C6" s="384" t="str">
        <f>$C$15</f>
        <v>For the period ended at March 31, 2025</v>
      </c>
      <c r="D6" s="384" t="str">
        <f>$D$15</f>
        <v>For the period ended at March 31, 2024</v>
      </c>
    </row>
    <row r="7" spans="1:11 16384:16384" ht="19" x14ac:dyDescent="0.45">
      <c r="A7" s="94"/>
      <c r="B7" s="353" t="s">
        <v>369</v>
      </c>
      <c r="C7" s="354"/>
      <c r="D7" s="354"/>
    </row>
    <row r="8" spans="1:11 16384:16384" ht="19" x14ac:dyDescent="0.45">
      <c r="A8" s="94"/>
      <c r="B8" s="355" t="s">
        <v>138</v>
      </c>
      <c r="C8" s="107">
        <f>'[3]All Branches Combined'!$O$333</f>
        <v>8355400</v>
      </c>
      <c r="D8" s="107">
        <v>11905200</v>
      </c>
    </row>
    <row r="9" spans="1:11 16384:16384" ht="19" x14ac:dyDescent="0.45">
      <c r="A9" s="94"/>
      <c r="B9" s="355" t="s">
        <v>139</v>
      </c>
      <c r="C9" s="107">
        <f>'[3]All Branches Combined'!$O$334</f>
        <v>656322397.42000008</v>
      </c>
      <c r="D9" s="107">
        <v>676399276.77999985</v>
      </c>
    </row>
    <row r="10" spans="1:11 16384:16384" ht="19" x14ac:dyDescent="0.45">
      <c r="A10" s="94"/>
      <c r="B10" s="356" t="s">
        <v>468</v>
      </c>
      <c r="C10" s="107">
        <f>'[3]All Branches Combined'!$O$335</f>
        <v>336170982.75999999</v>
      </c>
      <c r="D10" s="107">
        <v>358218975.69000006</v>
      </c>
      <c r="XFD10" s="95">
        <f>+XEY11-XEY31-XEY30+XEY33-XEY41-XEY53+XEY59</f>
        <v>0</v>
      </c>
    </row>
    <row r="11" spans="1:11 16384:16384" ht="19.5" thickBot="1" x14ac:dyDescent="0.5">
      <c r="A11" s="94"/>
      <c r="B11" s="393" t="s">
        <v>435</v>
      </c>
      <c r="C11" s="346">
        <f>SUM(C8:C10)</f>
        <v>1000848780.1800001</v>
      </c>
      <c r="D11" s="346">
        <f t="shared" ref="D11" si="0">SUM(D8:D10)</f>
        <v>1046523452.4699999</v>
      </c>
    </row>
    <row r="12" spans="1:11 16384:16384" ht="19.5" thickTop="1" x14ac:dyDescent="0.45">
      <c r="A12" s="94"/>
      <c r="B12" s="131"/>
      <c r="C12" s="347"/>
      <c r="D12" s="347"/>
    </row>
    <row r="13" spans="1:11 16384:16384" ht="19" x14ac:dyDescent="0.45">
      <c r="A13" s="94" t="s">
        <v>239</v>
      </c>
      <c r="B13" s="392" t="s">
        <v>270</v>
      </c>
      <c r="C13" s="128"/>
      <c r="D13" s="128"/>
    </row>
    <row r="14" spans="1:11 16384:16384" ht="19" x14ac:dyDescent="0.45">
      <c r="A14" s="94"/>
      <c r="B14" s="392"/>
      <c r="C14" s="338"/>
      <c r="D14" s="338"/>
    </row>
    <row r="15" spans="1:11 16384:16384" ht="57" x14ac:dyDescent="0.45">
      <c r="A15" s="94"/>
      <c r="B15" s="377" t="s">
        <v>37</v>
      </c>
      <c r="C15" s="384" t="str">
        <f>C64</f>
        <v>For the period ended at March 31, 2025</v>
      </c>
      <c r="D15" s="384" t="str">
        <f>D64</f>
        <v>For the period ended at March 31, 2024</v>
      </c>
      <c r="K15" s="312"/>
    </row>
    <row r="16" spans="1:11 16384:16384" ht="19" x14ac:dyDescent="0.45">
      <c r="A16" s="94"/>
      <c r="B16" s="307" t="s">
        <v>269</v>
      </c>
      <c r="C16" s="88">
        <f>'[2]All Branches Combined'!$O$340-C17</f>
        <v>1600385.73</v>
      </c>
      <c r="D16" s="482">
        <v>896209</v>
      </c>
    </row>
    <row r="17" spans="1:4" ht="19" x14ac:dyDescent="0.45">
      <c r="A17" s="94"/>
      <c r="B17" s="378" t="s">
        <v>664</v>
      </c>
      <c r="C17" s="113">
        <v>515168.27</v>
      </c>
      <c r="D17" s="107">
        <v>690108</v>
      </c>
    </row>
    <row r="18" spans="1:4" ht="19" x14ac:dyDescent="0.45">
      <c r="A18" s="94"/>
      <c r="B18" s="378" t="s">
        <v>279</v>
      </c>
      <c r="C18" s="113">
        <f>'[2]All Branches Combined'!$O$344</f>
        <v>119598</v>
      </c>
      <c r="D18" s="107">
        <v>428773</v>
      </c>
    </row>
    <row r="19" spans="1:4" ht="19" hidden="1" x14ac:dyDescent="0.45">
      <c r="A19" s="94"/>
      <c r="B19" s="378" t="s">
        <v>308</v>
      </c>
      <c r="C19" s="113"/>
      <c r="D19" s="107"/>
    </row>
    <row r="20" spans="1:4" ht="19" x14ac:dyDescent="0.45">
      <c r="A20" s="94"/>
      <c r="B20" s="378" t="s">
        <v>137</v>
      </c>
      <c r="C20" s="113">
        <f>'[2]All Branches Combined'!$O$341</f>
        <v>96369.05</v>
      </c>
      <c r="D20" s="107">
        <v>0</v>
      </c>
    </row>
    <row r="21" spans="1:4" ht="19" x14ac:dyDescent="0.45">
      <c r="A21" s="94"/>
      <c r="B21" s="378" t="s">
        <v>434</v>
      </c>
      <c r="C21" s="113">
        <f>'[2]All Branches Combined'!$O$342</f>
        <v>6701597.4100000001</v>
      </c>
      <c r="D21" s="107">
        <v>1152</v>
      </c>
    </row>
    <row r="22" spans="1:4" ht="19" x14ac:dyDescent="0.45">
      <c r="A22" s="94"/>
      <c r="B22" s="378" t="s">
        <v>746</v>
      </c>
      <c r="C22" s="113">
        <f>'[2]All Branches Combined'!$O$343</f>
        <v>594</v>
      </c>
      <c r="D22" s="107">
        <v>0</v>
      </c>
    </row>
    <row r="23" spans="1:4" ht="19.5" thickBot="1" x14ac:dyDescent="0.5">
      <c r="A23" s="94"/>
      <c r="B23" s="376" t="s">
        <v>32</v>
      </c>
      <c r="C23" s="114">
        <f>SUM(C16:C22)</f>
        <v>9033712.4600000009</v>
      </c>
      <c r="D23" s="145">
        <f>SUM(D16:D22)</f>
        <v>2016242</v>
      </c>
    </row>
    <row r="24" spans="1:4" ht="19.5" thickTop="1" x14ac:dyDescent="0.45">
      <c r="A24" s="94"/>
      <c r="B24" s="131"/>
      <c r="C24" s="128"/>
      <c r="D24" s="128"/>
    </row>
    <row r="25" spans="1:4" ht="19" x14ac:dyDescent="0.45">
      <c r="A25" s="94" t="s">
        <v>240</v>
      </c>
      <c r="B25" s="392" t="s">
        <v>11</v>
      </c>
      <c r="C25" s="128"/>
      <c r="D25" s="128"/>
    </row>
    <row r="26" spans="1:4" ht="19" x14ac:dyDescent="0.45">
      <c r="A26" s="94"/>
      <c r="B26" s="392"/>
      <c r="C26" s="128"/>
      <c r="D26" s="338"/>
    </row>
    <row r="27" spans="1:4" ht="19" x14ac:dyDescent="0.45">
      <c r="A27" s="94"/>
      <c r="B27" s="640" t="s">
        <v>37</v>
      </c>
      <c r="C27" s="614" t="str">
        <f>C15</f>
        <v>For the period ended at March 31, 2025</v>
      </c>
      <c r="D27" s="614" t="str">
        <f>D15</f>
        <v>For the period ended at March 31, 2024</v>
      </c>
    </row>
    <row r="28" spans="1:4" ht="36.75" customHeight="1" x14ac:dyDescent="0.45">
      <c r="A28" s="94"/>
      <c r="B28" s="643"/>
      <c r="C28" s="615"/>
      <c r="D28" s="615"/>
    </row>
    <row r="29" spans="1:4" ht="19" x14ac:dyDescent="0.45">
      <c r="A29" s="94"/>
      <c r="B29" s="357" t="s">
        <v>12</v>
      </c>
      <c r="C29" s="358"/>
      <c r="D29" s="483"/>
    </row>
    <row r="30" spans="1:4" ht="19" x14ac:dyDescent="0.45">
      <c r="A30" s="94"/>
      <c r="B30" s="296" t="s">
        <v>157</v>
      </c>
      <c r="C30" s="113">
        <f>D33</f>
        <v>28412958.02</v>
      </c>
      <c r="D30" s="113">
        <v>17970512.579999998</v>
      </c>
    </row>
    <row r="31" spans="1:4" ht="19" x14ac:dyDescent="0.45">
      <c r="A31" s="94"/>
      <c r="B31" s="126" t="s">
        <v>158</v>
      </c>
      <c r="C31" s="107">
        <f>'[2]All Branches Combined'!$O$350</f>
        <v>370073460.35000002</v>
      </c>
      <c r="D31" s="107">
        <v>506689154.23000002</v>
      </c>
    </row>
    <row r="32" spans="1:4" ht="19" x14ac:dyDescent="0.45">
      <c r="A32" s="94"/>
      <c r="B32" s="297" t="s">
        <v>159</v>
      </c>
      <c r="C32" s="115">
        <f>SUM(C30:C31)</f>
        <v>398486418.37</v>
      </c>
      <c r="D32" s="115">
        <f>SUM(D30:D31)</f>
        <v>524659666.81</v>
      </c>
    </row>
    <row r="33" spans="1:4" ht="19" x14ac:dyDescent="0.45">
      <c r="A33" s="94"/>
      <c r="B33" s="126" t="s">
        <v>160</v>
      </c>
      <c r="C33" s="107">
        <f>'Note (13-20)'!F30</f>
        <v>29404789.983884878</v>
      </c>
      <c r="D33" s="107">
        <v>28412958.02</v>
      </c>
    </row>
    <row r="34" spans="1:4" ht="19.5" thickBot="1" x14ac:dyDescent="0.5">
      <c r="A34" s="94"/>
      <c r="B34" s="393" t="s">
        <v>32</v>
      </c>
      <c r="C34" s="116">
        <f>+C32-C33</f>
        <v>369081628.38611513</v>
      </c>
      <c r="D34" s="116">
        <f>+D32-D33</f>
        <v>496246708.79000002</v>
      </c>
    </row>
    <row r="35" spans="1:4" ht="19.5" thickTop="1" x14ac:dyDescent="0.45">
      <c r="A35" s="94"/>
      <c r="B35" s="289"/>
      <c r="C35" s="118"/>
      <c r="D35" s="118"/>
    </row>
    <row r="36" spans="1:4" ht="19" x14ac:dyDescent="0.45">
      <c r="A36" s="94"/>
      <c r="B36" s="131"/>
      <c r="C36" s="118"/>
      <c r="D36" s="118"/>
    </row>
    <row r="37" spans="1:4" ht="19" x14ac:dyDescent="0.45">
      <c r="A37" s="94" t="s">
        <v>241</v>
      </c>
      <c r="B37" s="392" t="s">
        <v>25</v>
      </c>
      <c r="C37" s="118"/>
      <c r="D37" s="118"/>
    </row>
    <row r="38" spans="1:4" ht="19" x14ac:dyDescent="0.45">
      <c r="A38" s="94"/>
      <c r="B38" s="392"/>
      <c r="C38" s="119"/>
      <c r="D38" s="119"/>
    </row>
    <row r="39" spans="1:4" ht="19" x14ac:dyDescent="0.45">
      <c r="A39" s="94"/>
      <c r="B39" s="640" t="s">
        <v>37</v>
      </c>
      <c r="C39" s="620" t="str">
        <f>C27</f>
        <v>For the period ended at March 31, 2025</v>
      </c>
      <c r="D39" s="620" t="str">
        <f>D27</f>
        <v>For the period ended at March 31, 2024</v>
      </c>
    </row>
    <row r="40" spans="1:4" ht="41.25" customHeight="1" x14ac:dyDescent="0.45">
      <c r="A40" s="94"/>
      <c r="B40" s="643"/>
      <c r="C40" s="621"/>
      <c r="D40" s="621"/>
    </row>
    <row r="41" spans="1:4" ht="19" x14ac:dyDescent="0.45">
      <c r="A41" s="94"/>
      <c r="B41" s="359" t="s">
        <v>161</v>
      </c>
      <c r="C41" s="120">
        <f>'[2]All Branches Combined'!$O$357</f>
        <v>177768434.67000002</v>
      </c>
      <c r="D41" s="120">
        <v>95333035.520000011</v>
      </c>
    </row>
    <row r="42" spans="1:4" ht="19.5" thickBot="1" x14ac:dyDescent="0.5">
      <c r="A42" s="94"/>
      <c r="B42" s="393" t="s">
        <v>32</v>
      </c>
      <c r="C42" s="116">
        <f>C41</f>
        <v>177768434.67000002</v>
      </c>
      <c r="D42" s="116">
        <f>D41</f>
        <v>95333035.520000011</v>
      </c>
    </row>
    <row r="43" spans="1:4" ht="19.5" thickTop="1" x14ac:dyDescent="0.45">
      <c r="A43" s="94"/>
      <c r="B43" s="289" t="s">
        <v>844</v>
      </c>
      <c r="C43" s="118"/>
      <c r="D43" s="118"/>
    </row>
    <row r="44" spans="1:4" ht="19" x14ac:dyDescent="0.45">
      <c r="A44" s="94"/>
      <c r="B44" s="131"/>
      <c r="C44" s="118"/>
      <c r="D44" s="118"/>
    </row>
    <row r="45" spans="1:4" ht="19" x14ac:dyDescent="0.45">
      <c r="A45" s="94" t="s">
        <v>242</v>
      </c>
      <c r="B45" s="392" t="s">
        <v>320</v>
      </c>
      <c r="C45" s="118"/>
      <c r="D45" s="118"/>
    </row>
    <row r="46" spans="1:4" ht="19" x14ac:dyDescent="0.45">
      <c r="A46" s="94"/>
      <c r="B46" s="131"/>
      <c r="C46" s="119"/>
      <c r="D46" s="118"/>
    </row>
    <row r="47" spans="1:4" ht="19" x14ac:dyDescent="0.45">
      <c r="A47" s="94"/>
      <c r="B47" s="640" t="s">
        <v>37</v>
      </c>
      <c r="C47" s="620" t="str">
        <f>C39</f>
        <v>For the period ended at March 31, 2025</v>
      </c>
      <c r="D47" s="620" t="str">
        <f>D39</f>
        <v>For the period ended at March 31, 2024</v>
      </c>
    </row>
    <row r="48" spans="1:4" ht="39" customHeight="1" x14ac:dyDescent="0.45">
      <c r="A48" s="94"/>
      <c r="B48" s="643"/>
      <c r="C48" s="621"/>
      <c r="D48" s="621"/>
    </row>
    <row r="49" spans="1:4" ht="19" x14ac:dyDescent="0.45">
      <c r="A49" s="94"/>
      <c r="B49" s="208" t="s">
        <v>162</v>
      </c>
      <c r="C49" s="121"/>
      <c r="D49" s="121"/>
    </row>
    <row r="50" spans="1:4" ht="19" x14ac:dyDescent="0.45">
      <c r="A50" s="94"/>
      <c r="B50" s="126" t="s">
        <v>266</v>
      </c>
      <c r="C50" s="120">
        <f>D56</f>
        <v>27724624.550000004</v>
      </c>
      <c r="D50" s="120">
        <v>21799533.640000001</v>
      </c>
    </row>
    <row r="51" spans="1:4" ht="19" x14ac:dyDescent="0.45">
      <c r="A51" s="94"/>
      <c r="B51" s="126" t="s">
        <v>836</v>
      </c>
      <c r="C51" s="120">
        <v>0</v>
      </c>
      <c r="D51" s="120">
        <v>0</v>
      </c>
    </row>
    <row r="52" spans="1:4" ht="19" x14ac:dyDescent="0.45">
      <c r="A52" s="94"/>
      <c r="B52" s="126" t="s">
        <v>163</v>
      </c>
      <c r="C52" s="120">
        <f>D58</f>
        <v>66619242.120000005</v>
      </c>
      <c r="D52" s="484">
        <v>36039167.659999996</v>
      </c>
    </row>
    <row r="53" spans="1:4" ht="19" x14ac:dyDescent="0.45">
      <c r="A53" s="94"/>
      <c r="B53" s="216" t="s">
        <v>164</v>
      </c>
      <c r="C53" s="122">
        <f>SUM(C50:C52)</f>
        <v>94343866.670000017</v>
      </c>
      <c r="D53" s="121">
        <f>D50+D52</f>
        <v>57838701.299999997</v>
      </c>
    </row>
    <row r="54" spans="1:4" ht="19" x14ac:dyDescent="0.45">
      <c r="A54" s="94"/>
      <c r="B54" s="126"/>
      <c r="C54" s="122"/>
      <c r="D54" s="485"/>
    </row>
    <row r="55" spans="1:4" ht="19" x14ac:dyDescent="0.45">
      <c r="A55" s="94"/>
      <c r="B55" s="216" t="s">
        <v>165</v>
      </c>
      <c r="C55" s="121"/>
      <c r="D55" s="486"/>
    </row>
    <row r="56" spans="1:4" ht="19" x14ac:dyDescent="0.45">
      <c r="A56" s="94"/>
      <c r="B56" s="126" t="s">
        <v>266</v>
      </c>
      <c r="C56" s="120">
        <f>'Note (13-20)'!F33</f>
        <v>63556227.380000003</v>
      </c>
      <c r="D56" s="487">
        <v>27724624.550000004</v>
      </c>
    </row>
    <row r="57" spans="1:4" ht="19" x14ac:dyDescent="0.45">
      <c r="A57" s="94"/>
      <c r="B57" s="126" t="s">
        <v>836</v>
      </c>
      <c r="C57" s="275">
        <v>2735891.4361151247</v>
      </c>
      <c r="D57" s="487">
        <v>0</v>
      </c>
    </row>
    <row r="58" spans="1:4" ht="19" x14ac:dyDescent="0.45">
      <c r="A58" s="94"/>
      <c r="B58" s="126" t="s">
        <v>163</v>
      </c>
      <c r="C58" s="275">
        <f>'Note (13-20)'!F32</f>
        <v>111728093.47</v>
      </c>
      <c r="D58" s="484">
        <v>66619242.120000005</v>
      </c>
    </row>
    <row r="59" spans="1:4" ht="19" x14ac:dyDescent="0.45">
      <c r="A59" s="94"/>
      <c r="B59" s="256" t="s">
        <v>166</v>
      </c>
      <c r="C59" s="123">
        <f>SUM(C56:C58)</f>
        <v>178020212.28611511</v>
      </c>
      <c r="D59" s="488">
        <f>SUM(D56:D58)</f>
        <v>94343866.670000017</v>
      </c>
    </row>
    <row r="60" spans="1:4" ht="19.5" thickBot="1" x14ac:dyDescent="0.5">
      <c r="A60" s="94"/>
      <c r="B60" s="376" t="s">
        <v>225</v>
      </c>
      <c r="C60" s="124">
        <f>C53-C59</f>
        <v>-83676345.616115093</v>
      </c>
      <c r="D60" s="124">
        <f>D53-D59</f>
        <v>-36505165.37000002</v>
      </c>
    </row>
    <row r="61" spans="1:4" ht="19.5" thickTop="1" x14ac:dyDescent="0.45">
      <c r="A61" s="94"/>
      <c r="B61" s="131"/>
      <c r="C61" s="117"/>
      <c r="D61" s="117"/>
    </row>
    <row r="62" spans="1:4" ht="19" x14ac:dyDescent="0.45">
      <c r="A62" s="94" t="s">
        <v>243</v>
      </c>
      <c r="B62" s="392" t="s">
        <v>131</v>
      </c>
      <c r="C62" s="128"/>
      <c r="D62" s="128"/>
    </row>
    <row r="63" spans="1:4" ht="19" x14ac:dyDescent="0.45">
      <c r="A63" s="94"/>
      <c r="B63" s="392"/>
      <c r="C63" s="128"/>
      <c r="D63" s="128"/>
    </row>
    <row r="64" spans="1:4" ht="19" x14ac:dyDescent="0.45">
      <c r="A64" s="94"/>
      <c r="B64" s="640" t="s">
        <v>37</v>
      </c>
      <c r="C64" s="614" t="s">
        <v>773</v>
      </c>
      <c r="D64" s="614" t="s">
        <v>463</v>
      </c>
    </row>
    <row r="65" spans="1:9" ht="36.75" customHeight="1" x14ac:dyDescent="0.45">
      <c r="A65" s="94"/>
      <c r="B65" s="643"/>
      <c r="C65" s="615"/>
      <c r="D65" s="615"/>
    </row>
    <row r="66" spans="1:9" ht="19" x14ac:dyDescent="0.45">
      <c r="A66" s="94"/>
      <c r="B66" s="307" t="s">
        <v>132</v>
      </c>
      <c r="C66" s="88">
        <f>'[2]All Branches Combined'!$O$360</f>
        <v>107266305</v>
      </c>
      <c r="D66" s="482">
        <f>95533326.87-D68</f>
        <v>94126273.870000005</v>
      </c>
    </row>
    <row r="67" spans="1:9" ht="19" x14ac:dyDescent="0.45">
      <c r="A67" s="94"/>
      <c r="B67" s="378" t="s">
        <v>133</v>
      </c>
      <c r="C67" s="113">
        <f>'[2]All Branches Combined'!$O$361+'[2]All Branches Combined'!$O$362-C68</f>
        <v>3099572.24</v>
      </c>
      <c r="D67" s="107">
        <v>2214434</v>
      </c>
    </row>
    <row r="68" spans="1:9" ht="19" x14ac:dyDescent="0.45">
      <c r="A68" s="94"/>
      <c r="B68" s="378" t="s">
        <v>832</v>
      </c>
      <c r="C68" s="113">
        <f>'[2]Branch Wise 31.03.2025'!$T$357</f>
        <v>1603432</v>
      </c>
      <c r="D68" s="107">
        <v>1407053</v>
      </c>
    </row>
    <row r="69" spans="1:9" ht="19" x14ac:dyDescent="0.45">
      <c r="A69" s="94"/>
      <c r="B69" s="378" t="s">
        <v>134</v>
      </c>
      <c r="C69" s="113">
        <f>'[2]All Branches Combined'!$O$363</f>
        <v>8000000</v>
      </c>
      <c r="D69" s="107">
        <v>4064000</v>
      </c>
    </row>
    <row r="70" spans="1:9" ht="19" x14ac:dyDescent="0.45">
      <c r="A70" s="94"/>
      <c r="B70" s="378" t="s">
        <v>135</v>
      </c>
      <c r="C70" s="113">
        <f>'[2]All Branches Combined'!$O$365</f>
        <v>6997977.0399999991</v>
      </c>
      <c r="D70" s="107">
        <v>569014.85</v>
      </c>
    </row>
    <row r="71" spans="1:9" ht="19.5" thickBot="1" x14ac:dyDescent="0.5">
      <c r="A71" s="94"/>
      <c r="B71" s="376" t="s">
        <v>32</v>
      </c>
      <c r="C71" s="124">
        <f>SUM(C66:C70)</f>
        <v>126967286.28</v>
      </c>
      <c r="D71" s="116">
        <f>SUM(D66:D70)</f>
        <v>102380775.72</v>
      </c>
    </row>
    <row r="72" spans="1:9" ht="19.5" thickTop="1" x14ac:dyDescent="0.45">
      <c r="A72" s="94"/>
      <c r="B72" s="131"/>
      <c r="C72" s="128"/>
      <c r="D72" s="128"/>
    </row>
    <row r="73" spans="1:9" ht="19" x14ac:dyDescent="0.45">
      <c r="A73" s="94" t="s">
        <v>244</v>
      </c>
      <c r="B73" s="392" t="s">
        <v>7</v>
      </c>
      <c r="C73" s="128"/>
      <c r="D73" s="128"/>
    </row>
    <row r="74" spans="1:9" ht="19" x14ac:dyDescent="0.45">
      <c r="A74" s="94"/>
      <c r="B74" s="392"/>
      <c r="C74" s="128"/>
      <c r="D74" s="128"/>
    </row>
    <row r="75" spans="1:9" ht="18.75" customHeight="1" x14ac:dyDescent="0.45">
      <c r="A75" s="94"/>
      <c r="B75" s="640" t="s">
        <v>37</v>
      </c>
      <c r="C75" s="614" t="s">
        <v>773</v>
      </c>
      <c r="D75" s="614" t="s">
        <v>463</v>
      </c>
      <c r="H75" s="95" t="s">
        <v>747</v>
      </c>
      <c r="I75" s="95">
        <f>'[2]All Branches Combined'!$O$383</f>
        <v>1753759.7699999998</v>
      </c>
    </row>
    <row r="76" spans="1:9" ht="40.5" customHeight="1" x14ac:dyDescent="0.45">
      <c r="A76" s="94"/>
      <c r="B76" s="643"/>
      <c r="C76" s="615"/>
      <c r="D76" s="615"/>
      <c r="H76" s="95" t="s">
        <v>748</v>
      </c>
      <c r="I76" s="95">
        <f>'[2]All Branches Combined'!$O$384</f>
        <v>240477.8</v>
      </c>
    </row>
    <row r="77" spans="1:9" ht="19" x14ac:dyDescent="0.45">
      <c r="A77" s="94"/>
      <c r="B77" s="307" t="s">
        <v>275</v>
      </c>
      <c r="C77" s="88">
        <v>500000</v>
      </c>
      <c r="D77" s="107">
        <v>300000</v>
      </c>
      <c r="H77" s="95" t="s">
        <v>749</v>
      </c>
      <c r="I77" s="95">
        <f>'[2]All Branches Combined'!$O$385</f>
        <v>1236697.74</v>
      </c>
    </row>
    <row r="78" spans="1:9" ht="19" x14ac:dyDescent="0.45">
      <c r="A78" s="94"/>
      <c r="B78" s="378" t="s">
        <v>35</v>
      </c>
      <c r="C78" s="113">
        <f>'[2]All Branches Combined'!$O$409</f>
        <v>7873099</v>
      </c>
      <c r="D78" s="107">
        <v>4463385</v>
      </c>
      <c r="H78" s="95" t="s">
        <v>750</v>
      </c>
      <c r="I78" s="95">
        <f>'[2]All Branches Combined'!$O$389</f>
        <v>456734.5</v>
      </c>
    </row>
    <row r="79" spans="1:9" ht="19" hidden="1" x14ac:dyDescent="0.45">
      <c r="A79" s="94"/>
      <c r="B79" s="378" t="s">
        <v>172</v>
      </c>
      <c r="C79" s="113"/>
      <c r="D79" s="107"/>
      <c r="H79" s="95" t="s">
        <v>751</v>
      </c>
      <c r="I79" s="95">
        <f>'[2]All Branches Combined'!$O$393</f>
        <v>2914410.98</v>
      </c>
    </row>
    <row r="80" spans="1:9" ht="19" hidden="1" x14ac:dyDescent="0.45">
      <c r="A80" s="94"/>
      <c r="B80" s="378" t="s">
        <v>358</v>
      </c>
      <c r="C80" s="113"/>
      <c r="D80" s="107"/>
      <c r="H80" s="253" t="s">
        <v>752</v>
      </c>
      <c r="I80" s="253">
        <f>'[2]All Branches Combined'!$O$395</f>
        <v>805604</v>
      </c>
    </row>
    <row r="81" spans="1:9" ht="19" x14ac:dyDescent="0.45">
      <c r="A81" s="94"/>
      <c r="B81" s="378" t="s">
        <v>168</v>
      </c>
      <c r="C81" s="113">
        <f>'[2]All Branches Combined'!$O$387</f>
        <v>61010423.43</v>
      </c>
      <c r="D81" s="113">
        <v>61931147.640000001</v>
      </c>
      <c r="H81" s="95" t="s">
        <v>13</v>
      </c>
      <c r="I81" s="95">
        <f>'[2]All Branches Combined'!$O$398</f>
        <v>3684187.4100000006</v>
      </c>
    </row>
    <row r="82" spans="1:9" ht="19" x14ac:dyDescent="0.45">
      <c r="A82" s="94"/>
      <c r="B82" s="378" t="s">
        <v>43</v>
      </c>
      <c r="C82" s="113">
        <f>'[2]All Branches Combined'!$O$388</f>
        <v>49113869.780000001</v>
      </c>
      <c r="D82" s="107">
        <v>55700375.569999993</v>
      </c>
      <c r="H82" s="95" t="s">
        <v>754</v>
      </c>
      <c r="I82" s="95">
        <f>'[2]All Branches Combined'!$O$401</f>
        <v>730166.07000000007</v>
      </c>
    </row>
    <row r="83" spans="1:9" ht="19" x14ac:dyDescent="0.45">
      <c r="A83" s="94"/>
      <c r="B83" s="378" t="s">
        <v>29</v>
      </c>
      <c r="C83" s="113">
        <f>'[2]All Branches Combined'!$O$394</f>
        <v>907217.3</v>
      </c>
      <c r="D83" s="107">
        <v>1016237.01</v>
      </c>
      <c r="H83" s="95" t="s">
        <v>755</v>
      </c>
      <c r="I83" s="95">
        <f>'[2]All Branches Combined'!$O$403</f>
        <v>320209.76</v>
      </c>
    </row>
    <row r="84" spans="1:9" ht="19" x14ac:dyDescent="0.45">
      <c r="A84" s="94"/>
      <c r="B84" s="378" t="s">
        <v>171</v>
      </c>
      <c r="C84" s="113">
        <f>'[2]All Branches Combined'!$O$396</f>
        <v>3168003.35</v>
      </c>
      <c r="D84" s="107">
        <v>2156764</v>
      </c>
      <c r="H84" s="95" t="s">
        <v>756</v>
      </c>
      <c r="I84" s="95">
        <f>'[2]All Branches Combined'!$O$407</f>
        <v>366639.17</v>
      </c>
    </row>
    <row r="85" spans="1:9" ht="19" x14ac:dyDescent="0.45">
      <c r="A85" s="94"/>
      <c r="B85" s="378" t="s">
        <v>13</v>
      </c>
      <c r="C85" s="113">
        <f>I100</f>
        <v>25283116.32</v>
      </c>
      <c r="D85" s="113">
        <v>15079303.76</v>
      </c>
      <c r="H85" s="95" t="s">
        <v>757</v>
      </c>
      <c r="I85" s="95">
        <f>'[2]All Branches Combined'!$O$408</f>
        <v>1672259.09</v>
      </c>
    </row>
    <row r="86" spans="1:9" ht="19" x14ac:dyDescent="0.45">
      <c r="A86" s="94"/>
      <c r="B86" s="378" t="s">
        <v>167</v>
      </c>
      <c r="C86" s="113">
        <f>'[2]All Branches Combined'!$O$399+'[2]All Branches Combined'!$O$400</f>
        <v>19035770.039999999</v>
      </c>
      <c r="D86" s="107">
        <v>19310962.789999999</v>
      </c>
      <c r="H86" s="95" t="s">
        <v>758</v>
      </c>
      <c r="I86" s="95">
        <f>'[2]All Branches Combined'!$O$411</f>
        <v>813636.41999999993</v>
      </c>
    </row>
    <row r="87" spans="1:9" ht="19" x14ac:dyDescent="0.45">
      <c r="A87" s="94"/>
      <c r="B87" s="378" t="s">
        <v>175</v>
      </c>
      <c r="C87" s="113">
        <f>'[2]All Branches Combined'!$O$404</f>
        <v>7264003.3600000003</v>
      </c>
      <c r="D87" s="107">
        <v>7838787</v>
      </c>
      <c r="H87" s="95" t="s">
        <v>759</v>
      </c>
      <c r="I87" s="95">
        <f>'[2]All Branches Combined'!$O$416</f>
        <v>730.39999999999975</v>
      </c>
    </row>
    <row r="88" spans="1:9" ht="19" x14ac:dyDescent="0.45">
      <c r="A88" s="94"/>
      <c r="B88" s="378" t="s">
        <v>271</v>
      </c>
      <c r="C88" s="113">
        <f>'[2]All Branches Combined'!$O$391</f>
        <v>24807033.879999999</v>
      </c>
      <c r="D88" s="113">
        <v>32838312.969999999</v>
      </c>
      <c r="H88" s="95" t="s">
        <v>760</v>
      </c>
      <c r="I88" s="95">
        <f>'[2]All Branches Combined'!$O$390</f>
        <v>3680125.11</v>
      </c>
    </row>
    <row r="89" spans="1:9" ht="19" x14ac:dyDescent="0.45">
      <c r="A89" s="94"/>
      <c r="B89" s="378" t="s">
        <v>277</v>
      </c>
      <c r="C89" s="113">
        <f>'[2]All Branches Combined'!$O$405</f>
        <v>5655012.3900000006</v>
      </c>
      <c r="D89" s="107">
        <v>4396762.96</v>
      </c>
      <c r="H89" s="95" t="s">
        <v>753</v>
      </c>
      <c r="I89" s="95">
        <f>'[2]All Branches Combined'!$O$397</f>
        <v>974833.08</v>
      </c>
    </row>
    <row r="90" spans="1:9" ht="19" x14ac:dyDescent="0.45">
      <c r="A90" s="94"/>
      <c r="B90" s="378" t="s">
        <v>36</v>
      </c>
      <c r="C90" s="113">
        <f>'[2]All Branches Combined'!$O$406+'[2]All Branches Combined'!$O$414</f>
        <v>51044899.910000004</v>
      </c>
      <c r="D90" s="107">
        <v>47836443.040000007</v>
      </c>
      <c r="H90" s="95" t="s">
        <v>763</v>
      </c>
      <c r="I90" s="95">
        <f>'[2]All Branches Combined'!$O$386</f>
        <v>3340970.42</v>
      </c>
    </row>
    <row r="91" spans="1:9" ht="19" x14ac:dyDescent="0.45">
      <c r="A91" s="94"/>
      <c r="B91" s="378" t="s">
        <v>278</v>
      </c>
      <c r="C91" s="113">
        <f>'[2]All Branches Combined'!$O$410</f>
        <v>13808947.379999999</v>
      </c>
      <c r="D91" s="107">
        <v>10987553.809999999</v>
      </c>
      <c r="H91" s="95" t="s">
        <v>774</v>
      </c>
      <c r="I91" s="95">
        <f>'[2]All Branches Combined'!$O$392</f>
        <v>1050000</v>
      </c>
    </row>
    <row r="92" spans="1:9" ht="19" x14ac:dyDescent="0.45">
      <c r="A92" s="94"/>
      <c r="B92" s="349" t="s">
        <v>823</v>
      </c>
      <c r="C92" s="542">
        <v>0</v>
      </c>
      <c r="D92" s="107">
        <v>0</v>
      </c>
    </row>
    <row r="93" spans="1:9" ht="19.5" thickBot="1" x14ac:dyDescent="0.5">
      <c r="A93" s="94"/>
      <c r="B93" s="376" t="s">
        <v>32</v>
      </c>
      <c r="C93" s="124">
        <f>SUM(C77:C92)</f>
        <v>269471396.14000005</v>
      </c>
      <c r="D93" s="124">
        <f>SUM(D77:D92)</f>
        <v>263856035.55000001</v>
      </c>
      <c r="H93" s="95" t="s">
        <v>775</v>
      </c>
      <c r="I93" s="95">
        <f>'[2]All Branches Combined'!$O$412</f>
        <v>1212210.1200000001</v>
      </c>
    </row>
    <row r="94" spans="1:9" ht="19.5" thickTop="1" x14ac:dyDescent="0.45">
      <c r="A94" s="94"/>
      <c r="B94" s="111"/>
      <c r="C94" s="118"/>
      <c r="D94" s="118"/>
    </row>
    <row r="95" spans="1:9" ht="19" x14ac:dyDescent="0.45">
      <c r="A95" s="111"/>
      <c r="B95" s="541"/>
      <c r="C95" s="139"/>
      <c r="D95" s="139"/>
      <c r="H95" s="95" t="s">
        <v>776</v>
      </c>
      <c r="I95" s="95">
        <f>'[2]All Branches Combined'!$O$413</f>
        <v>52838</v>
      </c>
    </row>
    <row r="96" spans="1:9" ht="19" x14ac:dyDescent="0.45">
      <c r="A96" s="94"/>
      <c r="B96" s="186"/>
      <c r="C96" s="187"/>
      <c r="D96" s="187"/>
    </row>
    <row r="97" spans="1:9" ht="19" x14ac:dyDescent="0.45">
      <c r="A97" s="94"/>
      <c r="B97" s="186"/>
      <c r="C97" s="187"/>
      <c r="D97" s="187"/>
    </row>
    <row r="98" spans="1:9" ht="19" x14ac:dyDescent="0.45">
      <c r="A98" s="94"/>
      <c r="B98" s="181" t="s">
        <v>173</v>
      </c>
      <c r="C98" s="128"/>
      <c r="D98" s="128"/>
      <c r="H98" s="95" t="s">
        <v>777</v>
      </c>
      <c r="I98" s="95">
        <v>0</v>
      </c>
    </row>
    <row r="99" spans="1:9" ht="19" x14ac:dyDescent="0.45">
      <c r="A99" s="94"/>
      <c r="B99" s="361" t="s">
        <v>174</v>
      </c>
      <c r="C99" s="362"/>
      <c r="D99" s="125"/>
      <c r="H99" s="95" t="s">
        <v>778</v>
      </c>
      <c r="I99" s="95">
        <f>-23648.52+275</f>
        <v>-23373.52</v>
      </c>
    </row>
    <row r="100" spans="1:9" ht="19.5" thickBot="1" x14ac:dyDescent="0.5">
      <c r="A100" s="94"/>
      <c r="B100" s="363" t="s">
        <v>272</v>
      </c>
      <c r="C100" s="126">
        <v>450000</v>
      </c>
      <c r="D100" s="126">
        <v>180000</v>
      </c>
      <c r="I100" s="360">
        <f>SUM(I75:I99)</f>
        <v>25283116.32</v>
      </c>
    </row>
    <row r="101" spans="1:9" ht="19.5" thickTop="1" x14ac:dyDescent="0.45">
      <c r="A101" s="94"/>
      <c r="B101" s="363" t="s">
        <v>273</v>
      </c>
      <c r="C101" s="126">
        <v>50000</v>
      </c>
      <c r="D101" s="126">
        <v>60000</v>
      </c>
    </row>
    <row r="102" spans="1:9" ht="19" x14ac:dyDescent="0.45">
      <c r="A102" s="94"/>
      <c r="B102" s="363" t="s">
        <v>274</v>
      </c>
      <c r="C102" s="126">
        <v>0</v>
      </c>
      <c r="D102" s="126">
        <v>60000</v>
      </c>
    </row>
    <row r="103" spans="1:9" ht="19.5" thickBot="1" x14ac:dyDescent="0.5">
      <c r="A103" s="94"/>
      <c r="B103" s="364" t="s">
        <v>32</v>
      </c>
      <c r="C103" s="365">
        <f>SUM(C100:C102)</f>
        <v>500000</v>
      </c>
      <c r="D103" s="365">
        <f>SUM(D100:D102)</f>
        <v>300000</v>
      </c>
    </row>
    <row r="104" spans="1:9" ht="19.5" thickTop="1" x14ac:dyDescent="0.45">
      <c r="A104" s="94"/>
      <c r="B104" s="94"/>
      <c r="C104" s="139"/>
      <c r="D104" s="181"/>
    </row>
    <row r="105" spans="1:9" ht="19" x14ac:dyDescent="0.45">
      <c r="A105" s="94" t="s">
        <v>285</v>
      </c>
      <c r="B105" s="392" t="s">
        <v>22</v>
      </c>
      <c r="C105" s="128"/>
      <c r="D105" s="128"/>
    </row>
    <row r="106" spans="1:9" ht="19" x14ac:dyDescent="0.45">
      <c r="A106" s="94"/>
      <c r="B106" s="366"/>
      <c r="C106" s="338"/>
      <c r="D106" s="338"/>
    </row>
    <row r="107" spans="1:9" ht="18.75" customHeight="1" x14ac:dyDescent="0.45">
      <c r="A107" s="94"/>
      <c r="B107" s="640" t="s">
        <v>37</v>
      </c>
      <c r="C107" s="614" t="s">
        <v>773</v>
      </c>
      <c r="D107" s="614" t="s">
        <v>463</v>
      </c>
    </row>
    <row r="108" spans="1:9" ht="42.75" customHeight="1" x14ac:dyDescent="0.45">
      <c r="A108" s="94"/>
      <c r="B108" s="643"/>
      <c r="C108" s="615"/>
      <c r="D108" s="615"/>
    </row>
    <row r="109" spans="1:9" ht="19" x14ac:dyDescent="0.45">
      <c r="A109" s="94"/>
      <c r="B109" s="359" t="s">
        <v>281</v>
      </c>
      <c r="C109" s="107">
        <f>'[2]All Branches Combined'!$O$370</f>
        <v>2087002.65</v>
      </c>
      <c r="D109" s="107">
        <v>2710856.49</v>
      </c>
    </row>
    <row r="110" spans="1:9" ht="19" x14ac:dyDescent="0.45">
      <c r="A110" s="94"/>
      <c r="B110" s="297" t="s">
        <v>469</v>
      </c>
      <c r="C110" s="107">
        <f>'[2]All Branches Combined'!$O$374+'[2]All Branches Combined'!$O$375</f>
        <v>2060862.73</v>
      </c>
      <c r="D110" s="107">
        <v>1652130.32</v>
      </c>
    </row>
    <row r="111" spans="1:9" ht="19" x14ac:dyDescent="0.45">
      <c r="A111" s="94"/>
      <c r="B111" s="297" t="s">
        <v>280</v>
      </c>
      <c r="C111" s="107">
        <f>'[2]All Branches Combined'!$O$371</f>
        <v>19202875</v>
      </c>
      <c r="D111" s="107">
        <v>11423852.4</v>
      </c>
    </row>
    <row r="112" spans="1:9" ht="19" x14ac:dyDescent="0.45">
      <c r="A112" s="94"/>
      <c r="B112" s="297" t="s">
        <v>282</v>
      </c>
      <c r="C112" s="107">
        <f>'[2]All Branches Combined'!$O$372+'[2]All Branches Combined'!$O$373+'[2]All Branches Combined'!$O$376</f>
        <v>16922732.460000001</v>
      </c>
      <c r="D112" s="107">
        <v>20118890.939999998</v>
      </c>
    </row>
    <row r="113" spans="1:7" ht="19" x14ac:dyDescent="0.45">
      <c r="A113" s="94"/>
      <c r="B113" s="297" t="s">
        <v>833</v>
      </c>
      <c r="C113" s="107">
        <f>'[2]Branch Wise 31.03.2025'!$U$372</f>
        <v>818207.52</v>
      </c>
      <c r="D113" s="107">
        <v>0</v>
      </c>
    </row>
    <row r="114" spans="1:7" ht="19" x14ac:dyDescent="0.45">
      <c r="A114" s="94"/>
      <c r="B114" s="297" t="s">
        <v>835</v>
      </c>
      <c r="C114" s="107">
        <f>'[2]Branch Wise 31.03.2025'!$U$373</f>
        <v>1695063</v>
      </c>
      <c r="D114" s="107">
        <v>0</v>
      </c>
    </row>
    <row r="115" spans="1:7" ht="19" x14ac:dyDescent="0.45">
      <c r="A115" s="94"/>
      <c r="B115" s="295" t="s">
        <v>23</v>
      </c>
      <c r="C115" s="107">
        <f>'[2]All Branches Combined'!$O$369</f>
        <v>1502102.4</v>
      </c>
      <c r="D115" s="107">
        <v>446022.07999999996</v>
      </c>
    </row>
    <row r="116" spans="1:7" ht="19.5" thickBot="1" x14ac:dyDescent="0.5">
      <c r="A116" s="94"/>
      <c r="B116" s="376" t="s">
        <v>32</v>
      </c>
      <c r="C116" s="127">
        <f>SUM(C109:C115)+0.01</f>
        <v>44288845.770000003</v>
      </c>
      <c r="D116" s="93">
        <f>SUM(D109:D115)</f>
        <v>36351752.229999997</v>
      </c>
    </row>
    <row r="117" spans="1:7" ht="13" thickTop="1" x14ac:dyDescent="0.25"/>
    <row r="119" spans="1:7" ht="19" x14ac:dyDescent="0.45">
      <c r="A119" s="94" t="s">
        <v>286</v>
      </c>
      <c r="B119" s="392" t="s">
        <v>359</v>
      </c>
      <c r="C119" s="128"/>
      <c r="D119" s="128"/>
    </row>
    <row r="120" spans="1:7" ht="19" x14ac:dyDescent="0.45">
      <c r="A120" s="94"/>
      <c r="B120" s="366"/>
      <c r="C120" s="338"/>
      <c r="D120" s="338"/>
    </row>
    <row r="121" spans="1:7" ht="18.75" customHeight="1" x14ac:dyDescent="0.45">
      <c r="A121" s="94"/>
      <c r="B121" s="640" t="s">
        <v>37</v>
      </c>
      <c r="C121" s="614" t="s">
        <v>773</v>
      </c>
      <c r="D121" s="614" t="s">
        <v>463</v>
      </c>
    </row>
    <row r="122" spans="1:7" ht="43.5" customHeight="1" x14ac:dyDescent="0.45">
      <c r="A122" s="94"/>
      <c r="B122" s="643"/>
      <c r="C122" s="615"/>
      <c r="D122" s="615"/>
    </row>
    <row r="123" spans="1:7" ht="19" x14ac:dyDescent="0.45">
      <c r="A123" s="94"/>
      <c r="B123" s="295" t="s">
        <v>360</v>
      </c>
      <c r="C123" s="107">
        <v>23733634.429024078</v>
      </c>
      <c r="D123" s="276">
        <v>16559164</v>
      </c>
    </row>
    <row r="124" spans="1:7" ht="19.5" thickBot="1" x14ac:dyDescent="0.5">
      <c r="A124" s="94"/>
      <c r="B124" s="376" t="s">
        <v>32</v>
      </c>
      <c r="C124" s="127">
        <f>SUM(C123:C123)</f>
        <v>23733634.429024078</v>
      </c>
      <c r="D124" s="93">
        <f>SUM(D123:D123)</f>
        <v>16559164</v>
      </c>
    </row>
    <row r="125" spans="1:7" ht="13" thickTop="1" x14ac:dyDescent="0.25"/>
    <row r="127" spans="1:7" ht="19.149999999999999" customHeight="1" x14ac:dyDescent="0.45">
      <c r="A127" s="94" t="s">
        <v>287</v>
      </c>
      <c r="B127" s="392" t="s">
        <v>250</v>
      </c>
      <c r="C127" s="379"/>
      <c r="D127" s="379"/>
      <c r="E127" s="379"/>
      <c r="F127" s="128"/>
      <c r="G127" s="128"/>
    </row>
    <row r="128" spans="1:7" ht="19" x14ac:dyDescent="0.45">
      <c r="A128" s="94"/>
      <c r="B128" s="131"/>
      <c r="C128" s="379"/>
      <c r="D128" s="379"/>
      <c r="E128" s="379"/>
      <c r="F128" s="128"/>
      <c r="G128" s="128"/>
    </row>
    <row r="129" spans="1:7" ht="18.75" customHeight="1" x14ac:dyDescent="0.45">
      <c r="A129" s="94"/>
      <c r="B129" s="833" t="str">
        <f>'Note 20-31'!B64</f>
        <v>Particulars</v>
      </c>
      <c r="C129" s="614" t="s">
        <v>773</v>
      </c>
      <c r="D129" s="841" t="str">
        <f>'Note 20-31'!$D$75</f>
        <v>For the period ended at March 31, 2024</v>
      </c>
    </row>
    <row r="130" spans="1:7" ht="38.25" customHeight="1" x14ac:dyDescent="0.45">
      <c r="A130" s="94"/>
      <c r="B130" s="834"/>
      <c r="C130" s="615"/>
      <c r="D130" s="841"/>
    </row>
    <row r="131" spans="1:7" ht="19" x14ac:dyDescent="0.45">
      <c r="A131" s="94"/>
      <c r="B131" s="363"/>
      <c r="C131" s="125"/>
      <c r="D131" s="125"/>
    </row>
    <row r="132" spans="1:7" ht="19" x14ac:dyDescent="0.45">
      <c r="A132" s="94"/>
      <c r="B132" s="367" t="s">
        <v>258</v>
      </c>
      <c r="C132" s="368"/>
      <c r="D132" s="368"/>
    </row>
    <row r="133" spans="1:7" ht="19" x14ac:dyDescent="0.45">
      <c r="A133" s="94"/>
      <c r="B133" s="369" t="s">
        <v>259</v>
      </c>
      <c r="C133" s="126">
        <f>'BS PnL'!F109</f>
        <v>61436984.756764345</v>
      </c>
      <c r="D133" s="126">
        <f>'BS PnL'!G109</f>
        <v>58538634.778340653</v>
      </c>
    </row>
    <row r="134" spans="1:7" ht="19" x14ac:dyDescent="0.45">
      <c r="A134" s="94"/>
      <c r="B134" s="369" t="s">
        <v>251</v>
      </c>
      <c r="C134" s="370">
        <f>'Note 3 (Share Capital)'!F20</f>
        <v>166256</v>
      </c>
      <c r="D134" s="370">
        <f>'Note 3 (Share Capital)'!J20</f>
        <v>166256</v>
      </c>
    </row>
    <row r="135" spans="1:7" ht="19" x14ac:dyDescent="0.45">
      <c r="A135" s="94"/>
      <c r="B135" s="369" t="s">
        <v>252</v>
      </c>
      <c r="C135" s="370">
        <f>'Note 3 (Share Capital)'!F23</f>
        <v>9975360</v>
      </c>
      <c r="D135" s="370">
        <f>'Note 3 (Share Capital)'!J23</f>
        <v>166256</v>
      </c>
    </row>
    <row r="136" spans="1:7" ht="19" x14ac:dyDescent="0.45">
      <c r="A136" s="94"/>
      <c r="B136" s="369" t="s">
        <v>253</v>
      </c>
      <c r="C136" s="370">
        <f>C135</f>
        <v>9975360</v>
      </c>
      <c r="D136" s="370">
        <f>D135</f>
        <v>166256</v>
      </c>
    </row>
    <row r="137" spans="1:7" ht="19" x14ac:dyDescent="0.45">
      <c r="A137" s="94"/>
      <c r="B137" s="369" t="s">
        <v>254</v>
      </c>
      <c r="C137" s="370">
        <v>10</v>
      </c>
      <c r="D137" s="370">
        <f>100</f>
        <v>100</v>
      </c>
    </row>
    <row r="138" spans="1:7" ht="19" x14ac:dyDescent="0.45">
      <c r="A138" s="94"/>
      <c r="B138" s="367" t="s">
        <v>255</v>
      </c>
      <c r="C138" s="371"/>
      <c r="D138" s="126"/>
    </row>
    <row r="139" spans="1:7" ht="19" x14ac:dyDescent="0.45">
      <c r="A139" s="94"/>
      <c r="B139" s="369" t="s">
        <v>256</v>
      </c>
      <c r="C139" s="565">
        <f>+C133/C136</f>
        <v>6.158873941067224</v>
      </c>
      <c r="D139" s="565">
        <f>+D133/D136</f>
        <v>352.09938154617367</v>
      </c>
    </row>
    <row r="140" spans="1:7" ht="19" x14ac:dyDescent="0.45">
      <c r="A140" s="94"/>
      <c r="B140" s="372" t="s">
        <v>257</v>
      </c>
      <c r="C140" s="566">
        <f>C139</f>
        <v>6.158873941067224</v>
      </c>
      <c r="D140" s="566">
        <f>D139</f>
        <v>352.09938154617367</v>
      </c>
    </row>
    <row r="141" spans="1:7" ht="19" x14ac:dyDescent="0.45">
      <c r="A141" s="94"/>
      <c r="B141" s="373"/>
      <c r="C141" s="373"/>
      <c r="D141" s="373"/>
      <c r="E141" s="373"/>
      <c r="F141" s="182"/>
      <c r="G141" s="182"/>
    </row>
    <row r="142" spans="1:7" ht="19" x14ac:dyDescent="0.45">
      <c r="A142" s="94" t="s">
        <v>288</v>
      </c>
      <c r="B142" s="392" t="s">
        <v>176</v>
      </c>
      <c r="C142" s="379"/>
      <c r="D142" s="379"/>
      <c r="E142" s="379"/>
      <c r="F142" s="128"/>
      <c r="G142" s="128"/>
    </row>
    <row r="143" spans="1:7" ht="19" x14ac:dyDescent="0.45">
      <c r="A143" s="94"/>
      <c r="B143" s="129" t="s">
        <v>276</v>
      </c>
      <c r="C143" s="129"/>
      <c r="D143" s="129"/>
      <c r="E143" s="129"/>
      <c r="F143" s="130"/>
      <c r="G143" s="130"/>
    </row>
    <row r="144" spans="1:7" ht="19" x14ac:dyDescent="0.45">
      <c r="A144" s="131"/>
      <c r="B144" s="132"/>
      <c r="C144" s="132"/>
      <c r="D144" s="132"/>
      <c r="E144" s="132"/>
      <c r="F144" s="129"/>
      <c r="G144" s="129"/>
    </row>
    <row r="146" spans="1:7" ht="49.5" customHeight="1" x14ac:dyDescent="0.25"/>
    <row r="147" spans="1:7" ht="41.25" customHeight="1" x14ac:dyDescent="0.25"/>
    <row r="150" spans="1:7" ht="75" customHeight="1" x14ac:dyDescent="0.25"/>
    <row r="151" spans="1:7" ht="84" customHeight="1" x14ac:dyDescent="0.25"/>
    <row r="152" spans="1:7" ht="41.25" customHeight="1" x14ac:dyDescent="0.25"/>
    <row r="153" spans="1:7" ht="108" customHeight="1" x14ac:dyDescent="0.25"/>
    <row r="154" spans="1:7" ht="19" x14ac:dyDescent="0.45">
      <c r="A154" s="131"/>
      <c r="B154" s="129"/>
      <c r="C154" s="129"/>
      <c r="D154" s="129"/>
      <c r="E154" s="129"/>
      <c r="F154" s="129"/>
      <c r="G154" s="129"/>
    </row>
  </sheetData>
  <mergeCells count="25">
    <mergeCell ref="A2:E2"/>
    <mergeCell ref="C129:C130"/>
    <mergeCell ref="D129:D130"/>
    <mergeCell ref="B27:B28"/>
    <mergeCell ref="C27:C28"/>
    <mergeCell ref="D27:D28"/>
    <mergeCell ref="B121:B122"/>
    <mergeCell ref="C121:C122"/>
    <mergeCell ref="D121:D122"/>
    <mergeCell ref="B39:B40"/>
    <mergeCell ref="C107:C108"/>
    <mergeCell ref="D107:D108"/>
    <mergeCell ref="C64:C65"/>
    <mergeCell ref="D64:D65"/>
    <mergeCell ref="D39:D40"/>
    <mergeCell ref="C39:C40"/>
    <mergeCell ref="D75:D76"/>
    <mergeCell ref="C47:C48"/>
    <mergeCell ref="D47:D48"/>
    <mergeCell ref="B129:B130"/>
    <mergeCell ref="C75:C76"/>
    <mergeCell ref="B107:B108"/>
    <mergeCell ref="B75:B76"/>
    <mergeCell ref="B47:B48"/>
    <mergeCell ref="B64:B65"/>
  </mergeCells>
  <pageMargins left="0.31496062992125984" right="0.11811023622047245" top="0.35433070866141736" bottom="0.35433070866141736" header="0.31496062992125984" footer="0.31496062992125984"/>
  <pageSetup scale="51" orientation="portrait" r:id="rId1"/>
  <rowBreaks count="2" manualBreakCount="2">
    <brk id="72" max="16383" man="1"/>
    <brk id="144"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3418C-4EAF-4FE6-AB6A-4C60B90F0153}">
  <sheetPr>
    <tabColor rgb="FF92D050"/>
  </sheetPr>
  <dimension ref="A1:L177"/>
  <sheetViews>
    <sheetView showGridLines="0" view="pageBreakPreview" topLeftCell="A194" zoomScale="70" zoomScaleNormal="90" zoomScaleSheetLayoutView="70" workbookViewId="0">
      <selection activeCell="D155" sqref="D155:E165"/>
    </sheetView>
  </sheetViews>
  <sheetFormatPr defaultColWidth="9.1796875" defaultRowHeight="18" x14ac:dyDescent="0.4"/>
  <cols>
    <col min="1" max="1" width="13.1796875" style="36" customWidth="1"/>
    <col min="2" max="2" width="35.54296875" style="36" customWidth="1"/>
    <col min="3" max="3" width="52.26953125" style="36" customWidth="1"/>
    <col min="4" max="4" width="22.7265625" style="36" customWidth="1"/>
    <col min="5" max="5" width="19.81640625" style="36" customWidth="1"/>
    <col min="6" max="6" width="18.1796875" style="36" customWidth="1"/>
    <col min="7" max="7" width="19.26953125" style="36" customWidth="1"/>
    <col min="8" max="16384" width="9.1796875" style="36"/>
  </cols>
  <sheetData>
    <row r="1" spans="1:12" ht="20" x14ac:dyDescent="0.4">
      <c r="A1" s="35" t="str">
        <f>'Note 1-2'!A2</f>
        <v>ABC INDIA LIMITED</v>
      </c>
    </row>
    <row r="2" spans="1:12" ht="19.5" thickBot="1" x14ac:dyDescent="0.5">
      <c r="A2" s="37" t="s">
        <v>770</v>
      </c>
      <c r="B2" s="38"/>
      <c r="C2" s="38"/>
      <c r="D2" s="38"/>
      <c r="E2" s="38"/>
      <c r="F2" s="38"/>
      <c r="G2" s="38"/>
      <c r="H2" s="55"/>
      <c r="I2" s="55"/>
    </row>
    <row r="3" spans="1:12" ht="19.5" thickTop="1" x14ac:dyDescent="0.45">
      <c r="A3" s="42"/>
      <c r="B3" s="39"/>
      <c r="C3" s="39"/>
      <c r="D3" s="39"/>
      <c r="E3" s="39"/>
      <c r="F3" s="39"/>
      <c r="G3" s="39"/>
    </row>
    <row r="4" spans="1:12" ht="19" x14ac:dyDescent="0.45">
      <c r="A4" s="39"/>
      <c r="B4" s="39"/>
      <c r="C4" s="39"/>
      <c r="D4" s="39"/>
      <c r="E4" s="39"/>
      <c r="F4" s="39"/>
      <c r="H4" s="40"/>
    </row>
    <row r="5" spans="1:12" ht="21.65" customHeight="1" x14ac:dyDescent="0.45">
      <c r="A5" s="41" t="s">
        <v>727</v>
      </c>
      <c r="B5" s="42" t="s">
        <v>560</v>
      </c>
      <c r="C5" s="39"/>
      <c r="D5" s="39"/>
      <c r="E5" s="39"/>
      <c r="F5" s="39"/>
      <c r="G5" s="39"/>
    </row>
    <row r="6" spans="1:12" ht="21.65" customHeight="1" x14ac:dyDescent="0.45">
      <c r="A6" s="41"/>
      <c r="B6" s="42"/>
      <c r="C6" s="39"/>
      <c r="D6" s="39"/>
      <c r="E6" s="39"/>
      <c r="F6" s="39"/>
      <c r="G6" s="39"/>
    </row>
    <row r="7" spans="1:12" ht="22.9" customHeight="1" x14ac:dyDescent="0.45">
      <c r="A7" s="40" t="s">
        <v>561</v>
      </c>
      <c r="B7" s="42" t="s">
        <v>562</v>
      </c>
      <c r="C7" s="39"/>
      <c r="D7" s="39"/>
      <c r="E7" s="39"/>
      <c r="F7" s="39"/>
      <c r="G7" s="39"/>
    </row>
    <row r="8" spans="1:12" ht="73.150000000000006" customHeight="1" x14ac:dyDescent="0.45">
      <c r="A8" s="39"/>
      <c r="B8" s="854" t="s">
        <v>700</v>
      </c>
      <c r="C8" s="854"/>
      <c r="D8" s="854"/>
      <c r="E8" s="854"/>
      <c r="F8" s="854"/>
      <c r="G8" s="854"/>
      <c r="H8" s="854"/>
      <c r="I8" s="854"/>
      <c r="J8" s="56"/>
      <c r="K8" s="56"/>
      <c r="L8" s="56"/>
    </row>
    <row r="9" spans="1:12" ht="51" customHeight="1" x14ac:dyDescent="0.45">
      <c r="A9" s="39"/>
      <c r="B9" s="854" t="s">
        <v>698</v>
      </c>
      <c r="C9" s="854"/>
      <c r="D9" s="854"/>
      <c r="E9" s="854"/>
      <c r="F9" s="854"/>
      <c r="G9" s="854"/>
      <c r="H9" s="854"/>
      <c r="I9" s="254"/>
      <c r="J9" s="56"/>
      <c r="K9" s="56"/>
      <c r="L9" s="56"/>
    </row>
    <row r="10" spans="1:12" ht="61.15" customHeight="1" x14ac:dyDescent="0.45">
      <c r="A10" s="39"/>
      <c r="B10" s="854" t="s">
        <v>699</v>
      </c>
      <c r="C10" s="854"/>
      <c r="D10" s="854"/>
      <c r="E10" s="854"/>
      <c r="F10" s="854"/>
      <c r="G10" s="854"/>
      <c r="H10" s="854"/>
      <c r="I10" s="254"/>
      <c r="J10" s="56"/>
      <c r="K10" s="56"/>
      <c r="L10" s="56"/>
    </row>
    <row r="11" spans="1:12" ht="52.9" customHeight="1" x14ac:dyDescent="0.45">
      <c r="A11" s="39"/>
      <c r="B11" s="855" t="s">
        <v>563</v>
      </c>
      <c r="C11" s="855"/>
      <c r="D11" s="855"/>
      <c r="E11" s="855"/>
      <c r="F11" s="855"/>
      <c r="G11" s="855"/>
      <c r="H11" s="856"/>
      <c r="I11" s="856"/>
      <c r="J11" s="56"/>
      <c r="K11" s="56"/>
      <c r="L11" s="56"/>
    </row>
    <row r="12" spans="1:12" ht="19" x14ac:dyDescent="0.45">
      <c r="A12" s="39"/>
      <c r="B12" s="859" t="s">
        <v>37</v>
      </c>
      <c r="C12" s="859"/>
      <c r="D12" s="859"/>
      <c r="E12" s="859"/>
      <c r="F12" s="860" t="s">
        <v>564</v>
      </c>
      <c r="G12" s="860"/>
    </row>
    <row r="13" spans="1:12" ht="35.25" customHeight="1" x14ac:dyDescent="0.45">
      <c r="A13" s="39"/>
      <c r="B13" s="859"/>
      <c r="C13" s="859"/>
      <c r="D13" s="859"/>
      <c r="E13" s="859"/>
      <c r="F13" s="43" t="s">
        <v>782</v>
      </c>
      <c r="G13" s="43" t="s">
        <v>565</v>
      </c>
    </row>
    <row r="14" spans="1:12" ht="19" x14ac:dyDescent="0.45">
      <c r="A14" s="39"/>
      <c r="B14" s="44" t="s">
        <v>701</v>
      </c>
      <c r="C14" s="45"/>
      <c r="D14" s="45"/>
      <c r="E14" s="45"/>
      <c r="F14" s="125">
        <f>'Note 20-31'!C67</f>
        <v>3099572.24</v>
      </c>
      <c r="G14" s="125">
        <v>2214434</v>
      </c>
    </row>
    <row r="15" spans="1:12" ht="19" x14ac:dyDescent="0.45">
      <c r="A15" s="39"/>
      <c r="B15" s="46" t="s">
        <v>567</v>
      </c>
      <c r="C15" s="39"/>
      <c r="D15" s="39"/>
      <c r="E15" s="39"/>
      <c r="F15" s="255">
        <v>214343</v>
      </c>
      <c r="G15" s="255">
        <v>165264</v>
      </c>
    </row>
    <row r="16" spans="1:12" ht="19" x14ac:dyDescent="0.45">
      <c r="A16" s="39"/>
      <c r="B16" s="47"/>
      <c r="C16" s="48"/>
      <c r="D16" s="48"/>
      <c r="E16" s="49"/>
      <c r="F16" s="256">
        <f>SUM(F14:F15)</f>
        <v>3313915.24</v>
      </c>
      <c r="G16" s="256">
        <f>SUM(G14:G15)</f>
        <v>2379698</v>
      </c>
    </row>
    <row r="17" spans="1:9" ht="19" x14ac:dyDescent="0.45">
      <c r="A17" s="39"/>
      <c r="B17" s="39"/>
      <c r="C17" s="39"/>
      <c r="D17" s="39"/>
      <c r="E17" s="39"/>
      <c r="F17" s="50"/>
      <c r="G17" s="50"/>
    </row>
    <row r="18" spans="1:9" s="59" customFormat="1" ht="31.9" customHeight="1" x14ac:dyDescent="0.25">
      <c r="A18" s="80" t="s">
        <v>568</v>
      </c>
      <c r="B18" s="81" t="s">
        <v>569</v>
      </c>
      <c r="C18" s="58"/>
      <c r="D18" s="58"/>
      <c r="E18" s="58"/>
      <c r="F18" s="58"/>
      <c r="G18" s="58"/>
    </row>
    <row r="19" spans="1:9" ht="75.650000000000006" customHeight="1" x14ac:dyDescent="0.4">
      <c r="A19" s="51" t="s">
        <v>39</v>
      </c>
      <c r="B19" s="857" t="s">
        <v>570</v>
      </c>
      <c r="C19" s="857"/>
      <c r="D19" s="857"/>
      <c r="E19" s="857"/>
      <c r="F19" s="857"/>
      <c r="G19" s="857"/>
      <c r="H19" s="254"/>
      <c r="I19" s="254"/>
    </row>
    <row r="20" spans="1:9" ht="24.65" customHeight="1" x14ac:dyDescent="0.45">
      <c r="A20" s="51" t="s">
        <v>40</v>
      </c>
      <c r="B20" s="81" t="s">
        <v>571</v>
      </c>
      <c r="C20" s="39"/>
      <c r="D20" s="39"/>
      <c r="E20" s="39"/>
      <c r="F20" s="39"/>
      <c r="G20" s="39"/>
    </row>
    <row r="21" spans="1:9" ht="27" customHeight="1" x14ac:dyDescent="0.45">
      <c r="A21" s="53" t="s">
        <v>572</v>
      </c>
      <c r="B21" s="57" t="s">
        <v>573</v>
      </c>
      <c r="C21" s="39"/>
      <c r="D21" s="39"/>
      <c r="E21" s="39"/>
      <c r="F21" s="39"/>
      <c r="G21" s="39"/>
    </row>
    <row r="22" spans="1:9" ht="117.65" customHeight="1" x14ac:dyDescent="0.45">
      <c r="A22" s="39"/>
      <c r="B22" s="857" t="s">
        <v>574</v>
      </c>
      <c r="C22" s="857"/>
      <c r="D22" s="857"/>
      <c r="E22" s="857"/>
      <c r="F22" s="857"/>
      <c r="G22" s="857"/>
      <c r="H22" s="857"/>
      <c r="I22" s="857"/>
    </row>
    <row r="23" spans="1:9" ht="22.15" customHeight="1" x14ac:dyDescent="0.45">
      <c r="A23" s="53" t="s">
        <v>575</v>
      </c>
      <c r="B23" s="57" t="s">
        <v>576</v>
      </c>
      <c r="C23" s="39"/>
      <c r="D23" s="39"/>
      <c r="E23" s="39"/>
      <c r="F23" s="39"/>
      <c r="G23" s="39"/>
    </row>
    <row r="24" spans="1:9" ht="81" customHeight="1" x14ac:dyDescent="0.45">
      <c r="A24" s="39"/>
      <c r="B24" s="857" t="s">
        <v>702</v>
      </c>
      <c r="C24" s="857"/>
      <c r="D24" s="857"/>
      <c r="E24" s="857"/>
      <c r="F24" s="857"/>
      <c r="G24" s="857"/>
      <c r="H24" s="257"/>
      <c r="I24" s="257"/>
    </row>
    <row r="25" spans="1:9" ht="24" customHeight="1" x14ac:dyDescent="0.45">
      <c r="A25" s="53" t="s">
        <v>577</v>
      </c>
      <c r="B25" s="57" t="s">
        <v>578</v>
      </c>
      <c r="C25" s="39"/>
      <c r="D25" s="39"/>
      <c r="E25" s="39"/>
      <c r="F25" s="39"/>
      <c r="G25" s="39"/>
    </row>
    <row r="26" spans="1:9" ht="42.65" customHeight="1" x14ac:dyDescent="0.45">
      <c r="A26" s="39"/>
      <c r="B26" s="857" t="s">
        <v>579</v>
      </c>
      <c r="C26" s="857"/>
      <c r="D26" s="857"/>
      <c r="E26" s="857"/>
      <c r="F26" s="857"/>
      <c r="G26" s="857"/>
      <c r="H26" s="257"/>
      <c r="I26" s="257"/>
    </row>
    <row r="27" spans="1:9" ht="6" customHeight="1" x14ac:dyDescent="0.45">
      <c r="A27" s="39"/>
      <c r="B27" s="52"/>
      <c r="C27" s="52"/>
      <c r="D27" s="52"/>
      <c r="E27" s="52"/>
      <c r="F27" s="52"/>
      <c r="G27" s="52"/>
    </row>
    <row r="28" spans="1:9" ht="29.5" customHeight="1" x14ac:dyDescent="0.45">
      <c r="A28" s="53" t="s">
        <v>580</v>
      </c>
      <c r="B28" s="57" t="s">
        <v>581</v>
      </c>
      <c r="C28" s="39"/>
      <c r="D28" s="39"/>
      <c r="E28" s="39"/>
      <c r="F28" s="39"/>
      <c r="G28" s="39"/>
    </row>
    <row r="29" spans="1:9" ht="28.15" customHeight="1" x14ac:dyDescent="0.45">
      <c r="A29" s="39"/>
      <c r="B29" s="857" t="s">
        <v>582</v>
      </c>
      <c r="C29" s="857"/>
      <c r="D29" s="857"/>
      <c r="E29" s="857"/>
      <c r="F29" s="857"/>
      <c r="G29" s="857"/>
      <c r="H29" s="858"/>
      <c r="I29" s="858"/>
    </row>
    <row r="30" spans="1:9" s="59" customFormat="1" ht="24.65" customHeight="1" x14ac:dyDescent="0.25">
      <c r="A30" s="53" t="s">
        <v>583</v>
      </c>
      <c r="B30" s="57" t="s">
        <v>584</v>
      </c>
      <c r="C30" s="58"/>
      <c r="D30" s="58"/>
      <c r="E30" s="58"/>
      <c r="F30" s="58"/>
      <c r="G30" s="58"/>
    </row>
    <row r="31" spans="1:9" ht="31.9" customHeight="1" x14ac:dyDescent="0.45">
      <c r="A31" s="39"/>
      <c r="B31" s="857" t="s">
        <v>585</v>
      </c>
      <c r="C31" s="857"/>
      <c r="D31" s="857"/>
      <c r="E31" s="857"/>
      <c r="F31" s="857"/>
      <c r="G31" s="857"/>
      <c r="H31" s="858"/>
      <c r="I31" s="858"/>
    </row>
    <row r="32" spans="1:9" ht="19" x14ac:dyDescent="0.45">
      <c r="A32" s="39"/>
      <c r="B32" s="52"/>
      <c r="C32" s="52"/>
      <c r="D32" s="52"/>
      <c r="E32" s="52"/>
      <c r="F32" s="52"/>
      <c r="G32" s="52"/>
    </row>
    <row r="33" spans="1:7" ht="19" x14ac:dyDescent="0.4">
      <c r="A33" s="51" t="s">
        <v>334</v>
      </c>
      <c r="B33" s="853" t="s">
        <v>586</v>
      </c>
      <c r="C33" s="853"/>
      <c r="D33" s="52"/>
      <c r="E33" s="52"/>
      <c r="F33" s="52"/>
      <c r="G33" s="52"/>
    </row>
    <row r="34" spans="1:7" ht="19" x14ac:dyDescent="0.45">
      <c r="A34" s="51"/>
      <c r="B34" s="39"/>
      <c r="C34" s="39"/>
      <c r="D34" s="844" t="s">
        <v>476</v>
      </c>
      <c r="E34" s="844"/>
      <c r="F34" s="842"/>
      <c r="G34" s="842"/>
    </row>
    <row r="35" spans="1:7" ht="19" x14ac:dyDescent="0.45">
      <c r="A35" s="39"/>
      <c r="B35" s="847" t="s">
        <v>37</v>
      </c>
      <c r="C35" s="847"/>
      <c r="D35" s="852" t="s">
        <v>564</v>
      </c>
      <c r="E35" s="852"/>
      <c r="F35" s="842"/>
      <c r="G35" s="842"/>
    </row>
    <row r="36" spans="1:7" ht="41.5" customHeight="1" thickBot="1" x14ac:dyDescent="0.5">
      <c r="A36" s="39"/>
      <c r="B36" s="848"/>
      <c r="C36" s="848"/>
      <c r="D36" s="67" t="s">
        <v>782</v>
      </c>
      <c r="E36" s="67" t="s">
        <v>565</v>
      </c>
      <c r="F36" s="60"/>
      <c r="G36" s="60"/>
    </row>
    <row r="37" spans="1:7" ht="30.65" customHeight="1" x14ac:dyDescent="0.45">
      <c r="A37" s="39"/>
      <c r="B37" s="39" t="s">
        <v>587</v>
      </c>
      <c r="C37" s="39"/>
      <c r="D37" s="61"/>
      <c r="E37" s="61"/>
      <c r="F37" s="54"/>
      <c r="G37" s="54"/>
    </row>
    <row r="38" spans="1:7" ht="19" x14ac:dyDescent="0.45">
      <c r="A38" s="39"/>
      <c r="B38" s="39" t="s">
        <v>588</v>
      </c>
      <c r="C38" s="39"/>
      <c r="D38" s="62">
        <v>1964334</v>
      </c>
      <c r="E38" s="62">
        <v>1440701</v>
      </c>
      <c r="F38" s="63"/>
      <c r="G38" s="63"/>
    </row>
    <row r="39" spans="1:7" ht="19" x14ac:dyDescent="0.45">
      <c r="A39" s="39"/>
      <c r="B39" s="39" t="s">
        <v>589</v>
      </c>
      <c r="C39" s="39"/>
      <c r="D39" s="62">
        <v>127474</v>
      </c>
      <c r="E39" s="62">
        <v>95866</v>
      </c>
      <c r="F39" s="63"/>
      <c r="G39" s="63"/>
    </row>
    <row r="40" spans="1:7" ht="19" x14ac:dyDescent="0.45">
      <c r="A40" s="39"/>
      <c r="B40" s="39" t="s">
        <v>590</v>
      </c>
      <c r="C40" s="39"/>
      <c r="D40" s="184">
        <v>661650</v>
      </c>
      <c r="E40" s="263">
        <v>675544</v>
      </c>
      <c r="F40" s="63"/>
      <c r="G40" s="63"/>
    </row>
    <row r="41" spans="1:7" ht="19" x14ac:dyDescent="0.45">
      <c r="A41" s="39"/>
      <c r="B41" s="39" t="s">
        <v>591</v>
      </c>
      <c r="C41" s="39"/>
      <c r="D41" s="184">
        <v>-266827</v>
      </c>
      <c r="E41" s="62">
        <v>-71394</v>
      </c>
      <c r="F41" s="63"/>
      <c r="G41" s="63"/>
    </row>
    <row r="42" spans="1:7" ht="19" x14ac:dyDescent="0.45">
      <c r="A42" s="39"/>
      <c r="B42" s="39" t="s">
        <v>592</v>
      </c>
      <c r="C42" s="39"/>
      <c r="D42" s="184">
        <v>814308</v>
      </c>
      <c r="E42" s="62">
        <v>-176383</v>
      </c>
      <c r="F42" s="63"/>
      <c r="G42" s="63"/>
    </row>
    <row r="43" spans="1:7" ht="11.5" customHeight="1" x14ac:dyDescent="0.45">
      <c r="A43" s="39"/>
      <c r="B43" s="39"/>
      <c r="C43" s="39"/>
      <c r="D43" s="184"/>
      <c r="E43" s="61"/>
      <c r="F43" s="63"/>
      <c r="G43" s="63"/>
    </row>
    <row r="44" spans="1:7" ht="22.15" customHeight="1" x14ac:dyDescent="0.45">
      <c r="A44" s="39"/>
      <c r="B44" s="850" t="s">
        <v>593</v>
      </c>
      <c r="C44" s="850"/>
      <c r="D44" s="184"/>
      <c r="E44" s="61"/>
      <c r="F44" s="63"/>
      <c r="G44" s="63"/>
    </row>
    <row r="45" spans="1:7" ht="19" x14ac:dyDescent="0.45">
      <c r="A45" s="39"/>
      <c r="B45" s="84" t="s">
        <v>594</v>
      </c>
      <c r="C45" s="39"/>
      <c r="D45" s="184"/>
      <c r="E45" s="61"/>
      <c r="F45" s="63"/>
      <c r="G45" s="63"/>
    </row>
    <row r="46" spans="1:7" ht="19" x14ac:dyDescent="0.45">
      <c r="A46" s="39"/>
      <c r="B46" s="64" t="s">
        <v>595</v>
      </c>
      <c r="C46" s="39"/>
      <c r="D46" s="184">
        <v>0</v>
      </c>
      <c r="E46" s="62">
        <v>0</v>
      </c>
      <c r="F46" s="63"/>
      <c r="G46" s="63"/>
    </row>
    <row r="47" spans="1:7" ht="19" x14ac:dyDescent="0.45">
      <c r="A47" s="39"/>
      <c r="B47" s="64" t="s">
        <v>596</v>
      </c>
      <c r="C47" s="39"/>
      <c r="D47" s="184">
        <v>0</v>
      </c>
      <c r="E47" s="62">
        <v>0</v>
      </c>
      <c r="F47" s="63"/>
      <c r="G47" s="63"/>
    </row>
    <row r="48" spans="1:7" ht="19" x14ac:dyDescent="0.45">
      <c r="A48" s="39"/>
      <c r="B48" s="64" t="s">
        <v>597</v>
      </c>
      <c r="C48" s="39"/>
      <c r="D48" s="184">
        <v>0</v>
      </c>
      <c r="E48" s="62">
        <v>0</v>
      </c>
      <c r="F48" s="63"/>
      <c r="G48" s="63"/>
    </row>
    <row r="49" spans="1:7" ht="19" x14ac:dyDescent="0.45">
      <c r="A49" s="39"/>
      <c r="B49" s="39"/>
      <c r="C49" s="39"/>
      <c r="D49" s="264">
        <f>SUM(D38:D48)</f>
        <v>3300939</v>
      </c>
      <c r="E49" s="264">
        <f>SUM(E38:E48)</f>
        <v>1964334</v>
      </c>
      <c r="F49" s="63"/>
      <c r="G49" s="63"/>
    </row>
    <row r="50" spans="1:7" ht="19" x14ac:dyDescent="0.45">
      <c r="A50" s="39"/>
      <c r="B50" s="39"/>
      <c r="C50" s="39"/>
      <c r="D50" s="66"/>
      <c r="E50" s="66"/>
      <c r="F50" s="63"/>
      <c r="G50" s="63"/>
    </row>
    <row r="51" spans="1:7" ht="19" hidden="1" x14ac:dyDescent="0.45">
      <c r="A51" s="39"/>
      <c r="B51" s="39"/>
      <c r="C51" s="39"/>
      <c r="D51" s="844" t="s">
        <v>507</v>
      </c>
      <c r="E51" s="844"/>
      <c r="F51" s="63"/>
      <c r="G51" s="63"/>
    </row>
    <row r="52" spans="1:7" ht="19" hidden="1" x14ac:dyDescent="0.45">
      <c r="A52" s="39"/>
      <c r="B52" s="847" t="s">
        <v>37</v>
      </c>
      <c r="C52" s="847"/>
      <c r="D52" s="844" t="s">
        <v>564</v>
      </c>
      <c r="E52" s="844"/>
      <c r="F52" s="63"/>
      <c r="G52" s="63"/>
    </row>
    <row r="53" spans="1:7" ht="38.5" hidden="1" thickBot="1" x14ac:dyDescent="0.5">
      <c r="A53" s="39"/>
      <c r="B53" s="848"/>
      <c r="C53" s="848"/>
      <c r="D53" s="258" t="s">
        <v>565</v>
      </c>
      <c r="E53" s="258" t="s">
        <v>566</v>
      </c>
      <c r="F53" s="63"/>
      <c r="G53" s="63"/>
    </row>
    <row r="54" spans="1:7" ht="19" hidden="1" x14ac:dyDescent="0.45">
      <c r="A54" s="39"/>
      <c r="B54" s="39" t="s">
        <v>587</v>
      </c>
      <c r="C54" s="39"/>
      <c r="D54" s="61"/>
      <c r="E54" s="61"/>
      <c r="F54" s="63"/>
      <c r="G54" s="63"/>
    </row>
    <row r="55" spans="1:7" ht="19" hidden="1" x14ac:dyDescent="0.45">
      <c r="A55" s="39"/>
      <c r="B55" s="39" t="s">
        <v>588</v>
      </c>
      <c r="C55" s="39"/>
      <c r="D55" s="62">
        <f>E66</f>
        <v>0</v>
      </c>
      <c r="E55" s="62">
        <v>0</v>
      </c>
      <c r="F55" s="63"/>
      <c r="G55" s="63"/>
    </row>
    <row r="56" spans="1:7" ht="19" hidden="1" x14ac:dyDescent="0.45">
      <c r="A56" s="39"/>
      <c r="B56" s="39" t="s">
        <v>589</v>
      </c>
      <c r="C56" s="39"/>
      <c r="D56" s="62">
        <v>0</v>
      </c>
      <c r="E56" s="62">
        <v>0</v>
      </c>
      <c r="F56" s="63"/>
      <c r="G56" s="63"/>
    </row>
    <row r="57" spans="1:7" ht="19" hidden="1" x14ac:dyDescent="0.45">
      <c r="A57" s="39"/>
      <c r="B57" s="39" t="s">
        <v>590</v>
      </c>
      <c r="C57" s="39"/>
      <c r="D57" s="61">
        <f>[4]tB!B207</f>
        <v>4703090</v>
      </c>
      <c r="E57" s="62">
        <v>0</v>
      </c>
      <c r="F57" s="63"/>
      <c r="G57" s="63"/>
    </row>
    <row r="58" spans="1:7" ht="19" hidden="1" x14ac:dyDescent="0.45">
      <c r="A58" s="39"/>
      <c r="B58" s="39" t="s">
        <v>591</v>
      </c>
      <c r="C58" s="39"/>
      <c r="D58" s="62">
        <v>0</v>
      </c>
      <c r="E58" s="62">
        <v>0</v>
      </c>
      <c r="F58" s="63"/>
      <c r="G58" s="63"/>
    </row>
    <row r="59" spans="1:7" ht="19" hidden="1" x14ac:dyDescent="0.45">
      <c r="A59" s="39"/>
      <c r="B59" s="39" t="s">
        <v>592</v>
      </c>
      <c r="C59" s="39"/>
      <c r="D59" s="62">
        <v>0</v>
      </c>
      <c r="E59" s="62">
        <v>0</v>
      </c>
      <c r="F59" s="63"/>
      <c r="G59" s="63"/>
    </row>
    <row r="60" spans="1:7" ht="19" hidden="1" x14ac:dyDescent="0.45">
      <c r="A60" s="39"/>
      <c r="B60" s="39"/>
      <c r="C60" s="39"/>
      <c r="D60" s="62"/>
      <c r="E60" s="62"/>
      <c r="F60" s="63"/>
      <c r="G60" s="63"/>
    </row>
    <row r="61" spans="1:7" ht="19" hidden="1" x14ac:dyDescent="0.45">
      <c r="A61" s="39"/>
      <c r="B61" s="850" t="s">
        <v>593</v>
      </c>
      <c r="C61" s="850"/>
      <c r="D61" s="62"/>
      <c r="E61" s="62"/>
      <c r="F61" s="63"/>
      <c r="G61" s="63"/>
    </row>
    <row r="62" spans="1:7" ht="19" hidden="1" x14ac:dyDescent="0.45">
      <c r="A62" s="39"/>
      <c r="B62" s="84" t="s">
        <v>594</v>
      </c>
      <c r="C62" s="39"/>
      <c r="D62" s="62"/>
      <c r="E62" s="62"/>
      <c r="F62" s="63"/>
      <c r="G62" s="63"/>
    </row>
    <row r="63" spans="1:7" ht="19" hidden="1" x14ac:dyDescent="0.45">
      <c r="A63" s="39"/>
      <c r="B63" s="64" t="s">
        <v>595</v>
      </c>
      <c r="C63" s="39"/>
      <c r="D63" s="62">
        <v>0</v>
      </c>
      <c r="E63" s="62">
        <v>0</v>
      </c>
      <c r="F63" s="63"/>
      <c r="G63" s="63"/>
    </row>
    <row r="64" spans="1:7" ht="19" hidden="1" x14ac:dyDescent="0.45">
      <c r="A64" s="39"/>
      <c r="B64" s="64" t="s">
        <v>596</v>
      </c>
      <c r="C64" s="39"/>
      <c r="D64" s="62">
        <v>0</v>
      </c>
      <c r="E64" s="62">
        <v>0</v>
      </c>
      <c r="F64" s="63"/>
      <c r="G64" s="63"/>
    </row>
    <row r="65" spans="1:7" ht="19" hidden="1" x14ac:dyDescent="0.45">
      <c r="A65" s="39"/>
      <c r="B65" s="64" t="s">
        <v>597</v>
      </c>
      <c r="C65" s="39"/>
      <c r="D65" s="62">
        <v>0</v>
      </c>
      <c r="E65" s="62">
        <v>0</v>
      </c>
      <c r="F65" s="63"/>
      <c r="G65" s="63"/>
    </row>
    <row r="66" spans="1:7" ht="19" hidden="1" x14ac:dyDescent="0.45">
      <c r="A66" s="39"/>
      <c r="B66" s="39"/>
      <c r="C66" s="39"/>
      <c r="D66" s="65">
        <f>SUM(D55:D65)</f>
        <v>4703090</v>
      </c>
      <c r="E66" s="259">
        <f>SUM(E55:E65)</f>
        <v>0</v>
      </c>
      <c r="F66" s="63"/>
      <c r="G66" s="63"/>
    </row>
    <row r="67" spans="1:7" ht="19" x14ac:dyDescent="0.45">
      <c r="A67" s="51" t="s">
        <v>335</v>
      </c>
      <c r="B67" s="39" t="s">
        <v>598</v>
      </c>
      <c r="C67" s="39"/>
      <c r="D67" s="39"/>
      <c r="E67" s="39"/>
      <c r="F67" s="39"/>
      <c r="G67" s="39"/>
    </row>
    <row r="68" spans="1:7" ht="19" x14ac:dyDescent="0.45">
      <c r="A68" s="39"/>
      <c r="B68" s="39"/>
      <c r="C68" s="39"/>
      <c r="D68" s="844" t="s">
        <v>476</v>
      </c>
      <c r="E68" s="844"/>
      <c r="F68" s="842"/>
      <c r="G68" s="842"/>
    </row>
    <row r="69" spans="1:7" ht="19" x14ac:dyDescent="0.45">
      <c r="A69" s="39"/>
      <c r="B69" s="847" t="s">
        <v>37</v>
      </c>
      <c r="C69" s="847"/>
      <c r="D69" s="844" t="s">
        <v>564</v>
      </c>
      <c r="E69" s="844"/>
      <c r="F69" s="842"/>
      <c r="G69" s="842"/>
    </row>
    <row r="70" spans="1:7" ht="40.15" customHeight="1" thickBot="1" x14ac:dyDescent="0.5">
      <c r="A70" s="39"/>
      <c r="B70" s="848"/>
      <c r="C70" s="848"/>
      <c r="D70" s="67" t="s">
        <v>782</v>
      </c>
      <c r="E70" s="67" t="s">
        <v>565</v>
      </c>
      <c r="F70" s="68"/>
      <c r="G70" s="68"/>
    </row>
    <row r="71" spans="1:7" ht="25.9" customHeight="1" x14ac:dyDescent="0.45">
      <c r="A71" s="39"/>
      <c r="B71" s="39" t="s">
        <v>599</v>
      </c>
      <c r="C71" s="39"/>
      <c r="D71" s="69">
        <f>E80</f>
        <v>0</v>
      </c>
      <c r="E71" s="69">
        <v>0</v>
      </c>
      <c r="F71" s="70"/>
      <c r="G71" s="71"/>
    </row>
    <row r="72" spans="1:7" ht="19" x14ac:dyDescent="0.45">
      <c r="A72" s="39"/>
      <c r="B72" s="39" t="s">
        <v>600</v>
      </c>
      <c r="C72" s="39"/>
      <c r="D72" s="69"/>
      <c r="E72" s="69"/>
      <c r="F72" s="70"/>
      <c r="G72" s="71"/>
    </row>
    <row r="73" spans="1:7" ht="19" x14ac:dyDescent="0.45">
      <c r="A73" s="39"/>
      <c r="B73" s="39" t="s">
        <v>601</v>
      </c>
      <c r="C73" s="39"/>
      <c r="D73" s="69">
        <v>0</v>
      </c>
      <c r="E73" s="69">
        <v>0</v>
      </c>
      <c r="F73" s="70"/>
      <c r="G73" s="71"/>
    </row>
    <row r="74" spans="1:7" ht="19" x14ac:dyDescent="0.45">
      <c r="A74" s="39"/>
      <c r="B74" s="39" t="s">
        <v>602</v>
      </c>
      <c r="C74" s="39"/>
      <c r="D74" s="69">
        <v>0</v>
      </c>
      <c r="E74" s="69">
        <v>0</v>
      </c>
      <c r="F74" s="70"/>
      <c r="G74" s="71"/>
    </row>
    <row r="75" spans="1:7" ht="13.4" customHeight="1" x14ac:dyDescent="0.45">
      <c r="A75" s="39"/>
      <c r="B75" s="850"/>
      <c r="C75" s="850"/>
      <c r="D75" s="69"/>
      <c r="E75" s="69"/>
      <c r="F75" s="70"/>
      <c r="G75" s="71"/>
    </row>
    <row r="76" spans="1:7" ht="19" x14ac:dyDescent="0.45">
      <c r="A76" s="39"/>
      <c r="B76" s="39" t="s">
        <v>603</v>
      </c>
      <c r="C76" s="39"/>
      <c r="D76" s="69">
        <v>0</v>
      </c>
      <c r="E76" s="69">
        <v>0</v>
      </c>
      <c r="F76" s="70"/>
      <c r="G76" s="71"/>
    </row>
    <row r="77" spans="1:7" ht="19" x14ac:dyDescent="0.45">
      <c r="A77" s="39"/>
      <c r="B77" s="39" t="s">
        <v>604</v>
      </c>
      <c r="C77" s="39"/>
      <c r="D77" s="69">
        <v>0</v>
      </c>
      <c r="E77" s="69">
        <v>0</v>
      </c>
      <c r="F77" s="70"/>
      <c r="G77" s="71"/>
    </row>
    <row r="78" spans="1:7" ht="19" x14ac:dyDescent="0.45">
      <c r="A78" s="39"/>
      <c r="B78" s="39" t="s">
        <v>605</v>
      </c>
      <c r="C78" s="39"/>
      <c r="D78" s="69">
        <v>0</v>
      </c>
      <c r="E78" s="69">
        <v>0</v>
      </c>
      <c r="F78" s="70"/>
      <c r="G78" s="71"/>
    </row>
    <row r="79" spans="1:7" ht="19" x14ac:dyDescent="0.45">
      <c r="A79" s="39"/>
      <c r="B79" s="39"/>
      <c r="C79" s="39"/>
      <c r="D79" s="69"/>
      <c r="E79" s="69"/>
      <c r="F79" s="70"/>
      <c r="G79" s="71"/>
    </row>
    <row r="80" spans="1:7" ht="19" x14ac:dyDescent="0.45">
      <c r="A80" s="39"/>
      <c r="B80" s="39" t="s">
        <v>606</v>
      </c>
      <c r="C80" s="39"/>
      <c r="D80" s="72">
        <f>SUM(D71:D79)</f>
        <v>0</v>
      </c>
      <c r="E80" s="72">
        <f>SUM(E71:E79)</f>
        <v>0</v>
      </c>
      <c r="F80" s="70"/>
      <c r="G80" s="71"/>
    </row>
    <row r="81" spans="1:7" ht="19" x14ac:dyDescent="0.45">
      <c r="A81" s="39"/>
      <c r="B81" s="39"/>
      <c r="C81" s="39"/>
      <c r="D81" s="73"/>
      <c r="E81" s="73"/>
      <c r="F81" s="39"/>
      <c r="G81" s="39"/>
    </row>
    <row r="82" spans="1:7" ht="19" hidden="1" x14ac:dyDescent="0.45">
      <c r="A82" s="39"/>
      <c r="B82" s="39"/>
      <c r="C82" s="39"/>
      <c r="D82" s="844" t="s">
        <v>507</v>
      </c>
      <c r="E82" s="844"/>
      <c r="F82" s="39"/>
      <c r="G82" s="39"/>
    </row>
    <row r="83" spans="1:7" ht="19" hidden="1" x14ac:dyDescent="0.45">
      <c r="A83" s="39"/>
      <c r="B83" s="847" t="s">
        <v>37</v>
      </c>
      <c r="C83" s="847"/>
      <c r="D83" s="844" t="s">
        <v>564</v>
      </c>
      <c r="E83" s="844"/>
      <c r="F83" s="39"/>
      <c r="G83" s="39"/>
    </row>
    <row r="84" spans="1:7" ht="38.5" hidden="1" thickBot="1" x14ac:dyDescent="0.5">
      <c r="A84" s="39"/>
      <c r="B84" s="848"/>
      <c r="C84" s="848"/>
      <c r="D84" s="67" t="s">
        <v>565</v>
      </c>
      <c r="E84" s="67" t="s">
        <v>566</v>
      </c>
      <c r="F84" s="39"/>
      <c r="G84" s="39"/>
    </row>
    <row r="85" spans="1:7" ht="19" hidden="1" x14ac:dyDescent="0.45">
      <c r="A85" s="39"/>
      <c r="B85" s="39" t="s">
        <v>599</v>
      </c>
      <c r="C85" s="39"/>
      <c r="D85" s="69">
        <f>E94</f>
        <v>0</v>
      </c>
      <c r="E85" s="69">
        <v>0</v>
      </c>
      <c r="F85" s="39"/>
      <c r="G85" s="39"/>
    </row>
    <row r="86" spans="1:7" ht="19" hidden="1" x14ac:dyDescent="0.45">
      <c r="A86" s="39"/>
      <c r="B86" s="39" t="s">
        <v>600</v>
      </c>
      <c r="C86" s="39"/>
      <c r="D86" s="69"/>
      <c r="E86" s="69"/>
      <c r="F86" s="39"/>
      <c r="G86" s="39"/>
    </row>
    <row r="87" spans="1:7" ht="19" hidden="1" x14ac:dyDescent="0.45">
      <c r="A87" s="39"/>
      <c r="B87" s="39" t="s">
        <v>601</v>
      </c>
      <c r="C87" s="39"/>
      <c r="D87" s="69">
        <v>0</v>
      </c>
      <c r="E87" s="69">
        <v>0</v>
      </c>
      <c r="F87" s="39"/>
      <c r="G87" s="39"/>
    </row>
    <row r="88" spans="1:7" ht="19" hidden="1" x14ac:dyDescent="0.45">
      <c r="A88" s="39"/>
      <c r="B88" s="39" t="s">
        <v>602</v>
      </c>
      <c r="C88" s="39"/>
      <c r="D88" s="69">
        <v>0</v>
      </c>
      <c r="E88" s="69">
        <v>0</v>
      </c>
      <c r="F88" s="39"/>
      <c r="G88" s="39"/>
    </row>
    <row r="89" spans="1:7" ht="19" hidden="1" x14ac:dyDescent="0.45">
      <c r="A89" s="39"/>
      <c r="B89" s="850"/>
      <c r="C89" s="850"/>
      <c r="D89" s="69"/>
      <c r="E89" s="69"/>
      <c r="F89" s="39"/>
      <c r="G89" s="39"/>
    </row>
    <row r="90" spans="1:7" ht="19" hidden="1" x14ac:dyDescent="0.45">
      <c r="A90" s="39"/>
      <c r="B90" s="39" t="s">
        <v>603</v>
      </c>
      <c r="C90" s="39"/>
      <c r="D90" s="69">
        <v>0</v>
      </c>
      <c r="E90" s="69">
        <v>0</v>
      </c>
      <c r="F90" s="39"/>
      <c r="G90" s="39"/>
    </row>
    <row r="91" spans="1:7" ht="19" hidden="1" x14ac:dyDescent="0.45">
      <c r="A91" s="39"/>
      <c r="B91" s="39" t="s">
        <v>604</v>
      </c>
      <c r="C91" s="39"/>
      <c r="D91" s="69">
        <v>0</v>
      </c>
      <c r="E91" s="69">
        <v>0</v>
      </c>
      <c r="F91" s="39"/>
      <c r="G91" s="39"/>
    </row>
    <row r="92" spans="1:7" ht="19" hidden="1" x14ac:dyDescent="0.45">
      <c r="A92" s="39"/>
      <c r="B92" s="39" t="s">
        <v>605</v>
      </c>
      <c r="C92" s="39"/>
      <c r="D92" s="69">
        <v>0</v>
      </c>
      <c r="E92" s="69">
        <v>0</v>
      </c>
      <c r="F92" s="39"/>
      <c r="G92" s="39"/>
    </row>
    <row r="93" spans="1:7" ht="19" hidden="1" x14ac:dyDescent="0.45">
      <c r="A93" s="39"/>
      <c r="B93" s="39"/>
      <c r="C93" s="39"/>
      <c r="D93" s="69"/>
      <c r="E93" s="69"/>
      <c r="F93" s="39"/>
      <c r="G93" s="39"/>
    </row>
    <row r="94" spans="1:7" ht="19" hidden="1" x14ac:dyDescent="0.45">
      <c r="A94" s="39"/>
      <c r="B94" s="39" t="s">
        <v>606</v>
      </c>
      <c r="C94" s="39"/>
      <c r="D94" s="72">
        <f>SUM(D85:D93)</f>
        <v>0</v>
      </c>
      <c r="E94" s="72">
        <f>SUM(E85:E93)</f>
        <v>0</v>
      </c>
      <c r="F94" s="39"/>
      <c r="G94" s="39"/>
    </row>
    <row r="95" spans="1:7" ht="19" hidden="1" x14ac:dyDescent="0.45">
      <c r="A95" s="39"/>
      <c r="B95" s="39"/>
      <c r="C95" s="39"/>
      <c r="D95" s="69"/>
      <c r="E95" s="69"/>
      <c r="F95" s="39"/>
      <c r="G95" s="39"/>
    </row>
    <row r="96" spans="1:7" ht="19" x14ac:dyDescent="0.45">
      <c r="A96" s="51" t="s">
        <v>336</v>
      </c>
      <c r="B96" s="39" t="s">
        <v>607</v>
      </c>
      <c r="C96" s="39"/>
      <c r="D96" s="73"/>
      <c r="E96" s="73"/>
      <c r="F96" s="39"/>
      <c r="G96" s="39"/>
    </row>
    <row r="97" spans="1:7" ht="19" x14ac:dyDescent="0.45">
      <c r="A97" s="39"/>
      <c r="B97" s="39"/>
      <c r="C97" s="39"/>
      <c r="D97" s="849" t="s">
        <v>476</v>
      </c>
      <c r="E97" s="849"/>
      <c r="F97" s="842"/>
      <c r="G97" s="842"/>
    </row>
    <row r="98" spans="1:7" ht="72.650000000000006" customHeight="1" thickBot="1" x14ac:dyDescent="0.5">
      <c r="A98" s="39"/>
      <c r="B98" s="843" t="s">
        <v>37</v>
      </c>
      <c r="C98" s="843"/>
      <c r="D98" s="74" t="s">
        <v>783</v>
      </c>
      <c r="E98" s="74" t="s">
        <v>608</v>
      </c>
      <c r="F98" s="68"/>
      <c r="G98" s="68"/>
    </row>
    <row r="99" spans="1:7" ht="36" customHeight="1" x14ac:dyDescent="0.45">
      <c r="A99" s="39"/>
      <c r="B99" s="39" t="s">
        <v>610</v>
      </c>
      <c r="C99" s="39"/>
      <c r="D99" s="182">
        <f>-D49</f>
        <v>-3300939</v>
      </c>
      <c r="E99" s="182">
        <f>-E49</f>
        <v>-1964334</v>
      </c>
      <c r="F99" s="71"/>
      <c r="G99" s="71"/>
    </row>
    <row r="100" spans="1:7" ht="19" x14ac:dyDescent="0.45">
      <c r="A100" s="39"/>
      <c r="B100" s="39" t="s">
        <v>606</v>
      </c>
      <c r="C100" s="39"/>
      <c r="D100" s="182">
        <f>D80</f>
        <v>0</v>
      </c>
      <c r="E100" s="182">
        <f>E80</f>
        <v>0</v>
      </c>
      <c r="F100" s="71"/>
      <c r="G100" s="71"/>
    </row>
    <row r="101" spans="1:7" ht="19" x14ac:dyDescent="0.45">
      <c r="A101" s="39"/>
      <c r="B101" s="39"/>
      <c r="C101" s="39"/>
      <c r="D101" s="182"/>
      <c r="E101" s="182"/>
      <c r="F101" s="71"/>
      <c r="G101" s="71"/>
    </row>
    <row r="102" spans="1:7" ht="19" x14ac:dyDescent="0.45">
      <c r="A102" s="39"/>
      <c r="B102" s="39" t="s">
        <v>611</v>
      </c>
      <c r="C102" s="39"/>
      <c r="D102" s="265">
        <f>D99+D100</f>
        <v>-3300939</v>
      </c>
      <c r="E102" s="265">
        <f>E99+E100</f>
        <v>-1964334</v>
      </c>
      <c r="F102" s="71"/>
      <c r="G102" s="71"/>
    </row>
    <row r="103" spans="1:7" ht="19" x14ac:dyDescent="0.45">
      <c r="A103" s="39"/>
      <c r="B103" s="39" t="s">
        <v>612</v>
      </c>
      <c r="C103" s="39"/>
      <c r="D103" s="182">
        <v>-715501</v>
      </c>
      <c r="E103" s="182">
        <v>-362964</v>
      </c>
      <c r="F103" s="71"/>
      <c r="G103" s="71"/>
    </row>
    <row r="104" spans="1:7" ht="19" x14ac:dyDescent="0.45">
      <c r="A104" s="39"/>
      <c r="B104" s="39" t="s">
        <v>613</v>
      </c>
      <c r="C104" s="39"/>
      <c r="D104" s="182">
        <f>D102-D103</f>
        <v>-2585438</v>
      </c>
      <c r="E104" s="182">
        <f>+E102-E103</f>
        <v>-1601370</v>
      </c>
      <c r="F104" s="71"/>
      <c r="G104" s="71"/>
    </row>
    <row r="105" spans="1:7" ht="19" hidden="1" x14ac:dyDescent="0.45">
      <c r="A105" s="39"/>
      <c r="B105" s="39"/>
      <c r="C105" s="39"/>
      <c r="D105" s="182"/>
      <c r="E105" s="182"/>
      <c r="F105" s="39"/>
      <c r="G105" s="39"/>
    </row>
    <row r="106" spans="1:7" ht="19" hidden="1" x14ac:dyDescent="0.45">
      <c r="A106" s="39"/>
      <c r="B106" s="39"/>
      <c r="C106" s="39"/>
      <c r="D106" s="851" t="s">
        <v>507</v>
      </c>
      <c r="E106" s="851"/>
      <c r="F106" s="39"/>
      <c r="G106" s="39"/>
    </row>
    <row r="107" spans="1:7" ht="57.5" hidden="1" thickBot="1" x14ac:dyDescent="0.5">
      <c r="A107" s="39"/>
      <c r="B107" s="843" t="s">
        <v>37</v>
      </c>
      <c r="C107" s="843"/>
      <c r="D107" s="266" t="s">
        <v>608</v>
      </c>
      <c r="E107" s="266" t="s">
        <v>609</v>
      </c>
      <c r="F107" s="39"/>
      <c r="G107" s="39"/>
    </row>
    <row r="108" spans="1:7" ht="19" hidden="1" x14ac:dyDescent="0.45">
      <c r="A108" s="39"/>
      <c r="B108" s="39" t="s">
        <v>610</v>
      </c>
      <c r="C108" s="39"/>
      <c r="D108" s="182">
        <f>D66</f>
        <v>4703090</v>
      </c>
      <c r="E108" s="182">
        <v>0</v>
      </c>
      <c r="F108" s="39"/>
      <c r="G108" s="39"/>
    </row>
    <row r="109" spans="1:7" ht="19" hidden="1" x14ac:dyDescent="0.45">
      <c r="A109" s="39"/>
      <c r="B109" s="39" t="s">
        <v>606</v>
      </c>
      <c r="C109" s="39"/>
      <c r="D109" s="182">
        <f>D89</f>
        <v>0</v>
      </c>
      <c r="E109" s="182">
        <f>E89</f>
        <v>0</v>
      </c>
      <c r="F109" s="39"/>
      <c r="G109" s="39"/>
    </row>
    <row r="110" spans="1:7" ht="19" hidden="1" x14ac:dyDescent="0.45">
      <c r="A110" s="39"/>
      <c r="B110" s="39"/>
      <c r="C110" s="39"/>
      <c r="D110" s="182"/>
      <c r="E110" s="182"/>
      <c r="F110" s="39"/>
      <c r="G110" s="39"/>
    </row>
    <row r="111" spans="1:7" ht="19" hidden="1" x14ac:dyDescent="0.45">
      <c r="A111" s="39"/>
      <c r="B111" s="39" t="s">
        <v>611</v>
      </c>
      <c r="C111" s="39"/>
      <c r="D111" s="265">
        <f>D108+D109</f>
        <v>4703090</v>
      </c>
      <c r="E111" s="265">
        <f>E108+E109</f>
        <v>0</v>
      </c>
      <c r="F111" s="39"/>
      <c r="G111" s="39"/>
    </row>
    <row r="112" spans="1:7" ht="19" hidden="1" x14ac:dyDescent="0.45">
      <c r="A112" s="39"/>
      <c r="B112" s="39" t="s">
        <v>612</v>
      </c>
      <c r="C112" s="39"/>
      <c r="D112" s="182"/>
      <c r="E112" s="182"/>
      <c r="F112" s="39"/>
      <c r="G112" s="39"/>
    </row>
    <row r="113" spans="1:7" ht="19" hidden="1" x14ac:dyDescent="0.45">
      <c r="A113" s="39"/>
      <c r="B113" s="39" t="s">
        <v>613</v>
      </c>
      <c r="C113" s="39"/>
      <c r="D113" s="182"/>
      <c r="E113" s="182"/>
      <c r="F113" s="39"/>
      <c r="G113" s="39"/>
    </row>
    <row r="114" spans="1:7" ht="19" x14ac:dyDescent="0.45">
      <c r="A114" s="39"/>
      <c r="B114" s="39"/>
      <c r="C114" s="39"/>
      <c r="D114" s="182"/>
      <c r="E114" s="182"/>
      <c r="F114" s="39"/>
      <c r="G114" s="39"/>
    </row>
    <row r="115" spans="1:7" ht="19" x14ac:dyDescent="0.45">
      <c r="A115" s="39"/>
      <c r="B115" s="39"/>
      <c r="C115" s="39"/>
      <c r="D115" s="73"/>
      <c r="E115" s="73"/>
      <c r="F115" s="39"/>
      <c r="G115" s="39"/>
    </row>
    <row r="116" spans="1:7" ht="19" x14ac:dyDescent="0.45">
      <c r="A116" s="51" t="s">
        <v>337</v>
      </c>
      <c r="B116" s="39" t="s">
        <v>614</v>
      </c>
      <c r="C116" s="39"/>
      <c r="D116" s="73"/>
      <c r="E116" s="73"/>
      <c r="F116" s="39"/>
      <c r="G116" s="39"/>
    </row>
    <row r="117" spans="1:7" ht="19" x14ac:dyDescent="0.45">
      <c r="A117" s="39"/>
      <c r="B117" s="39"/>
      <c r="C117" s="39"/>
      <c r="D117" s="849" t="s">
        <v>476</v>
      </c>
      <c r="E117" s="849"/>
      <c r="F117" s="842"/>
      <c r="G117" s="842"/>
    </row>
    <row r="118" spans="1:7" ht="19" x14ac:dyDescent="0.45">
      <c r="A118" s="39"/>
      <c r="B118" s="847" t="s">
        <v>37</v>
      </c>
      <c r="C118" s="847"/>
      <c r="D118" s="849" t="s">
        <v>564</v>
      </c>
      <c r="E118" s="849"/>
      <c r="F118" s="842"/>
      <c r="G118" s="842"/>
    </row>
    <row r="119" spans="1:7" ht="44.5" customHeight="1" thickBot="1" x14ac:dyDescent="0.5">
      <c r="A119" s="39"/>
      <c r="B119" s="848"/>
      <c r="C119" s="848"/>
      <c r="D119" s="75" t="s">
        <v>782</v>
      </c>
      <c r="E119" s="75" t="s">
        <v>565</v>
      </c>
      <c r="F119" s="68"/>
      <c r="G119" s="68"/>
    </row>
    <row r="120" spans="1:7" ht="29.5" customHeight="1" x14ac:dyDescent="0.45">
      <c r="A120" s="39"/>
      <c r="B120" s="39" t="s">
        <v>590</v>
      </c>
      <c r="C120" s="39"/>
      <c r="D120" s="248">
        <f>D40</f>
        <v>661650</v>
      </c>
      <c r="E120" s="248">
        <f>E40</f>
        <v>675544</v>
      </c>
      <c r="F120" s="39"/>
      <c r="G120" s="39"/>
    </row>
    <row r="121" spans="1:7" ht="19" x14ac:dyDescent="0.45">
      <c r="A121" s="39"/>
      <c r="B121" s="39" t="s">
        <v>49</v>
      </c>
      <c r="C121" s="39"/>
      <c r="D121" s="248">
        <f>D39</f>
        <v>127474</v>
      </c>
      <c r="E121" s="248">
        <f>E39</f>
        <v>95866</v>
      </c>
      <c r="F121" s="39"/>
      <c r="G121" s="39"/>
    </row>
    <row r="122" spans="1:7" ht="19" x14ac:dyDescent="0.45">
      <c r="A122" s="39"/>
      <c r="B122" s="39" t="s">
        <v>615</v>
      </c>
      <c r="C122" s="39"/>
      <c r="D122" s="248">
        <f>-D73</f>
        <v>0</v>
      </c>
      <c r="E122" s="248">
        <f>-E73</f>
        <v>0</v>
      </c>
      <c r="F122" s="71"/>
      <c r="G122" s="71"/>
    </row>
    <row r="123" spans="1:7" ht="19" x14ac:dyDescent="0.45">
      <c r="A123" s="39"/>
      <c r="B123" s="39" t="s">
        <v>592</v>
      </c>
      <c r="C123" s="39"/>
      <c r="D123" s="248">
        <v>814308</v>
      </c>
      <c r="E123" s="248">
        <v>-176383</v>
      </c>
      <c r="F123" s="39"/>
      <c r="G123" s="39"/>
    </row>
    <row r="124" spans="1:7" ht="19" x14ac:dyDescent="0.45">
      <c r="A124" s="39"/>
      <c r="B124" s="39" t="s">
        <v>616</v>
      </c>
      <c r="C124" s="39"/>
      <c r="D124" s="267">
        <f>SUM(D120:D123)</f>
        <v>1603432</v>
      </c>
      <c r="E124" s="268">
        <f>SUM(E120:E123)</f>
        <v>595027</v>
      </c>
      <c r="F124" s="42"/>
      <c r="G124" s="42"/>
    </row>
    <row r="125" spans="1:7" ht="19" x14ac:dyDescent="0.45">
      <c r="A125" s="39"/>
      <c r="B125" s="39"/>
      <c r="C125" s="39"/>
      <c r="D125" s="248"/>
      <c r="E125" s="248"/>
      <c r="F125" s="39"/>
      <c r="G125" s="39"/>
    </row>
    <row r="126" spans="1:7" ht="19" x14ac:dyDescent="0.45">
      <c r="A126" s="39"/>
      <c r="B126" s="39" t="s">
        <v>617</v>
      </c>
      <c r="C126" s="39"/>
      <c r="D126" s="248"/>
      <c r="E126" s="248"/>
      <c r="F126" s="39"/>
      <c r="G126" s="39"/>
    </row>
    <row r="127" spans="1:7" ht="19" x14ac:dyDescent="0.45">
      <c r="A127" s="39"/>
      <c r="B127" s="845" t="s">
        <v>618</v>
      </c>
      <c r="C127" s="845"/>
      <c r="D127" s="248"/>
      <c r="E127" s="248"/>
      <c r="F127" s="39"/>
      <c r="G127" s="39"/>
    </row>
    <row r="128" spans="1:7" ht="19" x14ac:dyDescent="0.45">
      <c r="A128" s="39"/>
      <c r="B128" s="845" t="s">
        <v>619</v>
      </c>
      <c r="C128" s="845"/>
      <c r="D128" s="248">
        <f t="shared" ref="D128:E130" si="0">D46</f>
        <v>0</v>
      </c>
      <c r="E128" s="248">
        <f t="shared" si="0"/>
        <v>0</v>
      </c>
      <c r="F128" s="39"/>
      <c r="G128" s="39"/>
    </row>
    <row r="129" spans="1:7" ht="19" x14ac:dyDescent="0.45">
      <c r="A129" s="39"/>
      <c r="B129" s="845" t="s">
        <v>620</v>
      </c>
      <c r="C129" s="845"/>
      <c r="D129" s="248">
        <f t="shared" si="0"/>
        <v>0</v>
      </c>
      <c r="E129" s="248">
        <f t="shared" si="0"/>
        <v>0</v>
      </c>
      <c r="F129" s="39"/>
      <c r="G129" s="39"/>
    </row>
    <row r="130" spans="1:7" ht="19" x14ac:dyDescent="0.45">
      <c r="A130" s="39"/>
      <c r="B130" s="845" t="s">
        <v>621</v>
      </c>
      <c r="C130" s="845"/>
      <c r="D130" s="248">
        <f t="shared" si="0"/>
        <v>0</v>
      </c>
      <c r="E130" s="248">
        <f t="shared" si="0"/>
        <v>0</v>
      </c>
      <c r="F130" s="39"/>
      <c r="G130" s="39"/>
    </row>
    <row r="131" spans="1:7" ht="19" x14ac:dyDescent="0.45">
      <c r="A131" s="39"/>
      <c r="B131" s="39"/>
      <c r="C131" s="39"/>
      <c r="D131" s="248"/>
      <c r="E131" s="248"/>
      <c r="F131" s="39"/>
      <c r="G131" s="39"/>
    </row>
    <row r="132" spans="1:7" ht="19" x14ac:dyDescent="0.45">
      <c r="A132" s="39"/>
      <c r="B132" s="846" t="s">
        <v>622</v>
      </c>
      <c r="C132" s="846"/>
      <c r="D132" s="243">
        <f>SUM(D128:D131)</f>
        <v>0</v>
      </c>
      <c r="E132" s="243">
        <f>SUM(E128:E131)</f>
        <v>0</v>
      </c>
      <c r="F132" s="39"/>
      <c r="G132" s="39"/>
    </row>
    <row r="133" spans="1:7" ht="19" x14ac:dyDescent="0.45">
      <c r="A133" s="39"/>
      <c r="B133" s="85"/>
      <c r="C133" s="85"/>
      <c r="D133" s="82"/>
      <c r="E133" s="82"/>
      <c r="F133" s="39"/>
      <c r="G133" s="39"/>
    </row>
    <row r="134" spans="1:7" ht="19" x14ac:dyDescent="0.45">
      <c r="A134" s="39"/>
      <c r="B134" s="85"/>
      <c r="C134" s="85"/>
      <c r="D134" s="76"/>
      <c r="E134" s="76"/>
      <c r="F134" s="39"/>
      <c r="G134" s="39"/>
    </row>
    <row r="135" spans="1:7" ht="19" hidden="1" x14ac:dyDescent="0.45">
      <c r="A135" s="39"/>
      <c r="B135" s="39"/>
      <c r="C135" s="39"/>
      <c r="D135" s="849" t="s">
        <v>507</v>
      </c>
      <c r="E135" s="849"/>
      <c r="F135" s="39"/>
      <c r="G135" s="39"/>
    </row>
    <row r="136" spans="1:7" ht="19" hidden="1" x14ac:dyDescent="0.45">
      <c r="A136" s="39"/>
      <c r="B136" s="847" t="s">
        <v>37</v>
      </c>
      <c r="C136" s="847"/>
      <c r="D136" s="849" t="s">
        <v>564</v>
      </c>
      <c r="E136" s="849"/>
      <c r="F136" s="39"/>
      <c r="G136" s="39"/>
    </row>
    <row r="137" spans="1:7" ht="38.5" hidden="1" thickBot="1" x14ac:dyDescent="0.5">
      <c r="A137" s="39"/>
      <c r="B137" s="848"/>
      <c r="C137" s="848"/>
      <c r="D137" s="75" t="s">
        <v>565</v>
      </c>
      <c r="E137" s="75" t="s">
        <v>566</v>
      </c>
      <c r="F137" s="39"/>
      <c r="G137" s="39"/>
    </row>
    <row r="138" spans="1:7" ht="19" hidden="1" x14ac:dyDescent="0.45">
      <c r="A138" s="39"/>
      <c r="B138" s="39" t="s">
        <v>590</v>
      </c>
      <c r="C138" s="39"/>
      <c r="D138" s="73">
        <f>D57</f>
        <v>4703090</v>
      </c>
      <c r="E138" s="69">
        <v>0</v>
      </c>
      <c r="F138" s="39"/>
      <c r="G138" s="39"/>
    </row>
    <row r="139" spans="1:7" ht="19" hidden="1" x14ac:dyDescent="0.45">
      <c r="A139" s="39"/>
      <c r="B139" s="39" t="s">
        <v>49</v>
      </c>
      <c r="C139" s="39"/>
      <c r="D139" s="69">
        <f>D56</f>
        <v>0</v>
      </c>
      <c r="E139" s="69">
        <f>E56</f>
        <v>0</v>
      </c>
      <c r="F139" s="39"/>
      <c r="G139" s="39"/>
    </row>
    <row r="140" spans="1:7" ht="19" hidden="1" x14ac:dyDescent="0.45">
      <c r="A140" s="39"/>
      <c r="B140" s="39" t="s">
        <v>615</v>
      </c>
      <c r="C140" s="39"/>
      <c r="D140" s="69">
        <f>-D90</f>
        <v>0</v>
      </c>
      <c r="E140" s="69">
        <f>-E90</f>
        <v>0</v>
      </c>
      <c r="F140" s="39"/>
      <c r="G140" s="39"/>
    </row>
    <row r="141" spans="1:7" ht="19" hidden="1" x14ac:dyDescent="0.45">
      <c r="A141" s="39"/>
      <c r="B141" s="39" t="s">
        <v>592</v>
      </c>
      <c r="C141" s="39"/>
      <c r="D141" s="69">
        <v>0</v>
      </c>
      <c r="E141" s="69">
        <v>0</v>
      </c>
      <c r="F141" s="39"/>
      <c r="G141" s="39"/>
    </row>
    <row r="142" spans="1:7" ht="19" hidden="1" x14ac:dyDescent="0.45">
      <c r="A142" s="39"/>
      <c r="B142" s="39" t="s">
        <v>616</v>
      </c>
      <c r="C142" s="39"/>
      <c r="D142" s="260">
        <f>SUM(D138:D141)</f>
        <v>4703090</v>
      </c>
      <c r="E142" s="261">
        <f>SUM(E138:E141)</f>
        <v>0</v>
      </c>
      <c r="F142" s="39"/>
      <c r="G142" s="39"/>
    </row>
    <row r="143" spans="1:7" ht="19" hidden="1" x14ac:dyDescent="0.45">
      <c r="A143" s="39"/>
      <c r="B143" s="39"/>
      <c r="C143" s="39"/>
      <c r="D143" s="73"/>
      <c r="E143" s="73"/>
      <c r="F143" s="39"/>
      <c r="G143" s="39"/>
    </row>
    <row r="144" spans="1:7" ht="19" hidden="1" x14ac:dyDescent="0.45">
      <c r="A144" s="39"/>
      <c r="B144" s="39" t="s">
        <v>617</v>
      </c>
      <c r="C144" s="39"/>
      <c r="D144" s="73"/>
      <c r="E144" s="73"/>
      <c r="F144" s="39"/>
      <c r="G144" s="39"/>
    </row>
    <row r="145" spans="1:7" ht="19" hidden="1" x14ac:dyDescent="0.45">
      <c r="A145" s="39"/>
      <c r="B145" s="845" t="s">
        <v>618</v>
      </c>
      <c r="C145" s="845"/>
      <c r="D145" s="73"/>
      <c r="E145" s="73"/>
      <c r="F145" s="39"/>
      <c r="G145" s="39"/>
    </row>
    <row r="146" spans="1:7" ht="19" hidden="1" x14ac:dyDescent="0.45">
      <c r="A146" s="39"/>
      <c r="B146" s="845" t="s">
        <v>619</v>
      </c>
      <c r="C146" s="845"/>
      <c r="D146" s="69">
        <f t="shared" ref="D146:E148" si="1">D63</f>
        <v>0</v>
      </c>
      <c r="E146" s="69">
        <f t="shared" si="1"/>
        <v>0</v>
      </c>
      <c r="F146" s="39"/>
      <c r="G146" s="39"/>
    </row>
    <row r="147" spans="1:7" ht="19" hidden="1" x14ac:dyDescent="0.45">
      <c r="A147" s="39"/>
      <c r="B147" s="845" t="s">
        <v>620</v>
      </c>
      <c r="C147" s="845"/>
      <c r="D147" s="69">
        <f t="shared" si="1"/>
        <v>0</v>
      </c>
      <c r="E147" s="69">
        <f t="shared" si="1"/>
        <v>0</v>
      </c>
      <c r="F147" s="39"/>
      <c r="G147" s="39"/>
    </row>
    <row r="148" spans="1:7" ht="19" hidden="1" x14ac:dyDescent="0.45">
      <c r="A148" s="39"/>
      <c r="B148" s="845" t="s">
        <v>621</v>
      </c>
      <c r="C148" s="845"/>
      <c r="D148" s="69">
        <f t="shared" si="1"/>
        <v>0</v>
      </c>
      <c r="E148" s="69">
        <f t="shared" si="1"/>
        <v>0</v>
      </c>
      <c r="F148" s="39"/>
      <c r="G148" s="39"/>
    </row>
    <row r="149" spans="1:7" ht="19" hidden="1" x14ac:dyDescent="0.45">
      <c r="A149" s="39"/>
      <c r="B149" s="39"/>
      <c r="C149" s="39"/>
      <c r="D149" s="69"/>
      <c r="E149" s="69"/>
      <c r="F149" s="39"/>
      <c r="G149" s="39"/>
    </row>
    <row r="150" spans="1:7" ht="19" hidden="1" x14ac:dyDescent="0.45">
      <c r="A150" s="39"/>
      <c r="B150" s="846" t="s">
        <v>622</v>
      </c>
      <c r="C150" s="846"/>
      <c r="D150" s="72">
        <f>SUM(D146:D149)</f>
        <v>0</v>
      </c>
      <c r="E150" s="72">
        <f>SUM(E146:E149)</f>
        <v>0</v>
      </c>
      <c r="F150" s="39"/>
      <c r="G150" s="39"/>
    </row>
    <row r="151" spans="1:7" ht="19" hidden="1" x14ac:dyDescent="0.45">
      <c r="A151" s="39"/>
      <c r="B151" s="85"/>
      <c r="C151" s="85"/>
      <c r="D151" s="70"/>
      <c r="E151" s="70"/>
      <c r="F151" s="39"/>
      <c r="G151" s="39"/>
    </row>
    <row r="152" spans="1:7" ht="19" x14ac:dyDescent="0.45">
      <c r="A152" s="51" t="s">
        <v>539</v>
      </c>
      <c r="B152" s="39" t="s">
        <v>623</v>
      </c>
      <c r="C152" s="39"/>
      <c r="D152" s="39"/>
      <c r="E152" s="39"/>
      <c r="F152" s="39"/>
      <c r="G152" s="39"/>
    </row>
    <row r="153" spans="1:7" ht="19" x14ac:dyDescent="0.45">
      <c r="A153" s="39"/>
      <c r="B153" s="39"/>
      <c r="C153" s="39"/>
      <c r="D153" s="842" t="s">
        <v>476</v>
      </c>
      <c r="E153" s="842"/>
      <c r="F153" s="842"/>
      <c r="G153" s="842"/>
    </row>
    <row r="154" spans="1:7" ht="67.900000000000006" customHeight="1" thickBot="1" x14ac:dyDescent="0.5">
      <c r="A154" s="39"/>
      <c r="B154" s="843" t="s">
        <v>37</v>
      </c>
      <c r="C154" s="843"/>
      <c r="D154" s="74" t="s">
        <v>784</v>
      </c>
      <c r="E154" s="77" t="s">
        <v>608</v>
      </c>
      <c r="F154" s="68"/>
      <c r="G154" s="68"/>
    </row>
    <row r="155" spans="1:7" ht="19" x14ac:dyDescent="0.45">
      <c r="A155" s="39"/>
      <c r="B155" s="39" t="s">
        <v>624</v>
      </c>
      <c r="C155" s="39"/>
      <c r="D155" s="78" t="s">
        <v>786</v>
      </c>
      <c r="E155" s="78" t="s">
        <v>785</v>
      </c>
      <c r="F155" s="78"/>
      <c r="G155" s="78"/>
    </row>
    <row r="156" spans="1:7" ht="19" x14ac:dyDescent="0.45">
      <c r="A156" s="39"/>
      <c r="B156" s="39" t="s">
        <v>626</v>
      </c>
      <c r="C156" s="39"/>
      <c r="D156" s="78" t="s">
        <v>703</v>
      </c>
      <c r="E156" s="78" t="s">
        <v>703</v>
      </c>
      <c r="F156" s="78"/>
      <c r="G156" s="78"/>
    </row>
    <row r="157" spans="1:7" ht="19" x14ac:dyDescent="0.45">
      <c r="A157" s="39"/>
      <c r="B157" s="39" t="s">
        <v>628</v>
      </c>
      <c r="C157" s="39"/>
      <c r="D157" s="78" t="s">
        <v>788</v>
      </c>
      <c r="E157" s="78" t="s">
        <v>789</v>
      </c>
      <c r="F157" s="78"/>
      <c r="G157" s="78"/>
    </row>
    <row r="158" spans="1:7" ht="19" x14ac:dyDescent="0.45">
      <c r="A158" s="39"/>
      <c r="B158" s="39" t="s">
        <v>630</v>
      </c>
      <c r="C158" s="39"/>
      <c r="D158" s="78" t="s">
        <v>631</v>
      </c>
      <c r="E158" s="78" t="s">
        <v>631</v>
      </c>
      <c r="F158" s="78"/>
      <c r="G158" s="78"/>
    </row>
    <row r="159" spans="1:7" ht="19" x14ac:dyDescent="0.45">
      <c r="A159" s="39"/>
      <c r="B159" s="39" t="s">
        <v>632</v>
      </c>
      <c r="C159" s="39" t="s">
        <v>708</v>
      </c>
      <c r="D159" s="79" t="s">
        <v>787</v>
      </c>
      <c r="E159" s="79" t="s">
        <v>787</v>
      </c>
      <c r="F159" s="78"/>
      <c r="G159" s="78"/>
    </row>
    <row r="160" spans="1:7" ht="19" x14ac:dyDescent="0.45">
      <c r="A160" s="39"/>
      <c r="B160" s="39"/>
      <c r="C160" s="39" t="s">
        <v>704</v>
      </c>
      <c r="D160" s="79" t="s">
        <v>787</v>
      </c>
      <c r="E160" s="79" t="s">
        <v>787</v>
      </c>
      <c r="F160" s="78"/>
      <c r="G160" s="78"/>
    </row>
    <row r="161" spans="1:7" ht="19" x14ac:dyDescent="0.45">
      <c r="A161" s="39"/>
      <c r="B161" s="39"/>
      <c r="C161" s="39" t="s">
        <v>705</v>
      </c>
      <c r="D161" s="79" t="s">
        <v>787</v>
      </c>
      <c r="E161" s="79" t="s">
        <v>787</v>
      </c>
      <c r="F161" s="78"/>
      <c r="G161" s="78"/>
    </row>
    <row r="162" spans="1:7" ht="19" x14ac:dyDescent="0.45">
      <c r="A162" s="39"/>
      <c r="B162" s="39"/>
      <c r="C162" s="39" t="s">
        <v>706</v>
      </c>
      <c r="D162" s="79" t="s">
        <v>787</v>
      </c>
      <c r="E162" s="79" t="s">
        <v>787</v>
      </c>
      <c r="F162" s="78"/>
      <c r="G162" s="78"/>
    </row>
    <row r="163" spans="1:7" ht="19" x14ac:dyDescent="0.45">
      <c r="A163" s="39"/>
      <c r="B163" s="39"/>
      <c r="C163" s="39" t="s">
        <v>707</v>
      </c>
      <c r="D163" s="79" t="s">
        <v>787</v>
      </c>
      <c r="E163" s="79" t="s">
        <v>787</v>
      </c>
      <c r="F163" s="78"/>
      <c r="G163" s="78"/>
    </row>
    <row r="164" spans="1:7" ht="19" x14ac:dyDescent="0.45">
      <c r="A164" s="39"/>
      <c r="B164" s="39"/>
      <c r="C164" s="39"/>
      <c r="D164" s="79"/>
      <c r="E164" s="79"/>
      <c r="F164" s="78"/>
      <c r="G164" s="78"/>
    </row>
    <row r="165" spans="1:7" ht="38" x14ac:dyDescent="0.45">
      <c r="A165" s="39"/>
      <c r="B165" s="58" t="s">
        <v>633</v>
      </c>
      <c r="C165" s="39"/>
      <c r="D165" s="78" t="s">
        <v>634</v>
      </c>
      <c r="E165" s="78" t="s">
        <v>634</v>
      </c>
      <c r="F165" s="78"/>
      <c r="G165" s="78"/>
    </row>
    <row r="166" spans="1:7" ht="19" x14ac:dyDescent="0.45">
      <c r="A166" s="39"/>
      <c r="B166" s="39"/>
      <c r="C166" s="39"/>
      <c r="D166" s="39"/>
      <c r="E166" s="39"/>
      <c r="F166" s="39"/>
      <c r="G166" s="39"/>
    </row>
    <row r="167" spans="1:7" ht="19" hidden="1" x14ac:dyDescent="0.45">
      <c r="A167" s="39"/>
      <c r="B167" s="39"/>
      <c r="C167" s="39"/>
      <c r="D167" s="844" t="s">
        <v>507</v>
      </c>
      <c r="E167" s="844"/>
      <c r="F167" s="39"/>
      <c r="G167" s="39"/>
    </row>
    <row r="168" spans="1:7" ht="57.5" hidden="1" thickBot="1" x14ac:dyDescent="0.5">
      <c r="A168" s="39"/>
      <c r="B168" s="843" t="s">
        <v>37</v>
      </c>
      <c r="C168" s="843"/>
      <c r="D168" s="77" t="s">
        <v>608</v>
      </c>
      <c r="E168" s="77" t="s">
        <v>609</v>
      </c>
      <c r="F168" s="39"/>
      <c r="G168" s="39"/>
    </row>
    <row r="169" spans="1:7" ht="19" hidden="1" x14ac:dyDescent="0.45">
      <c r="A169" s="39"/>
      <c r="B169" s="39" t="s">
        <v>624</v>
      </c>
      <c r="C169" s="39"/>
      <c r="D169" s="78" t="s">
        <v>625</v>
      </c>
      <c r="E169" s="78"/>
      <c r="F169" s="39"/>
      <c r="G169" s="39"/>
    </row>
    <row r="170" spans="1:7" ht="19" hidden="1" x14ac:dyDescent="0.45">
      <c r="A170" s="39"/>
      <c r="B170" s="39" t="s">
        <v>626</v>
      </c>
      <c r="C170" s="39"/>
      <c r="D170" s="78" t="s">
        <v>627</v>
      </c>
      <c r="E170" s="78"/>
      <c r="F170" s="39"/>
      <c r="G170" s="39"/>
    </row>
    <row r="171" spans="1:7" ht="19" hidden="1" x14ac:dyDescent="0.45">
      <c r="A171" s="39"/>
      <c r="B171" s="39" t="s">
        <v>628</v>
      </c>
      <c r="C171" s="39"/>
      <c r="D171" s="78" t="s">
        <v>629</v>
      </c>
      <c r="E171" s="78"/>
      <c r="F171" s="39"/>
      <c r="G171" s="39"/>
    </row>
    <row r="172" spans="1:7" ht="19" hidden="1" x14ac:dyDescent="0.45">
      <c r="A172" s="39"/>
      <c r="B172" s="39" t="s">
        <v>630</v>
      </c>
      <c r="C172" s="39"/>
      <c r="D172" s="78" t="s">
        <v>631</v>
      </c>
      <c r="E172" s="78"/>
      <c r="F172" s="39"/>
      <c r="G172" s="39"/>
    </row>
    <row r="173" spans="1:7" ht="19" hidden="1" x14ac:dyDescent="0.45">
      <c r="A173" s="39"/>
      <c r="B173" s="39" t="s">
        <v>632</v>
      </c>
      <c r="C173" s="39"/>
      <c r="D173" s="79">
        <v>0.3</v>
      </c>
      <c r="E173" s="262"/>
      <c r="F173" s="39"/>
      <c r="G173" s="39"/>
    </row>
    <row r="174" spans="1:7" ht="38" hidden="1" x14ac:dyDescent="0.45">
      <c r="A174" s="39"/>
      <c r="B174" s="58" t="s">
        <v>633</v>
      </c>
      <c r="C174" s="39"/>
      <c r="D174" s="78" t="s">
        <v>634</v>
      </c>
      <c r="E174" s="78"/>
      <c r="F174" s="39"/>
      <c r="G174" s="39"/>
    </row>
    <row r="175" spans="1:7" hidden="1" x14ac:dyDescent="0.4"/>
    <row r="176" spans="1:7" hidden="1" x14ac:dyDescent="0.4"/>
    <row r="177" hidden="1" x14ac:dyDescent="0.4"/>
  </sheetData>
  <mergeCells count="61">
    <mergeCell ref="B33:C33"/>
    <mergeCell ref="B8:I8"/>
    <mergeCell ref="B11:I11"/>
    <mergeCell ref="B22:I22"/>
    <mergeCell ref="B29:I29"/>
    <mergeCell ref="B31:I31"/>
    <mergeCell ref="B9:H9"/>
    <mergeCell ref="B10:H10"/>
    <mergeCell ref="B12:E13"/>
    <mergeCell ref="F12:G12"/>
    <mergeCell ref="B19:G19"/>
    <mergeCell ref="B24:G24"/>
    <mergeCell ref="B26:G26"/>
    <mergeCell ref="F68:G68"/>
    <mergeCell ref="D34:E34"/>
    <mergeCell ref="F34:G34"/>
    <mergeCell ref="B35:C36"/>
    <mergeCell ref="D35:E35"/>
    <mergeCell ref="F35:G35"/>
    <mergeCell ref="B44:C44"/>
    <mergeCell ref="D51:E51"/>
    <mergeCell ref="B52:C53"/>
    <mergeCell ref="D52:E52"/>
    <mergeCell ref="B61:C61"/>
    <mergeCell ref="D68:E68"/>
    <mergeCell ref="B107:C107"/>
    <mergeCell ref="B69:C70"/>
    <mergeCell ref="D69:E69"/>
    <mergeCell ref="F69:G69"/>
    <mergeCell ref="B75:C75"/>
    <mergeCell ref="D82:E82"/>
    <mergeCell ref="B83:C84"/>
    <mergeCell ref="D83:E83"/>
    <mergeCell ref="B89:C89"/>
    <mergeCell ref="D97:E97"/>
    <mergeCell ref="F97:G97"/>
    <mergeCell ref="B98:C98"/>
    <mergeCell ref="D106:E106"/>
    <mergeCell ref="B136:C137"/>
    <mergeCell ref="D136:E136"/>
    <mergeCell ref="D117:E117"/>
    <mergeCell ref="F117:G117"/>
    <mergeCell ref="B118:C119"/>
    <mergeCell ref="D118:E118"/>
    <mergeCell ref="F118:G118"/>
    <mergeCell ref="B127:C127"/>
    <mergeCell ref="B128:C128"/>
    <mergeCell ref="B129:C129"/>
    <mergeCell ref="B130:C130"/>
    <mergeCell ref="B132:C132"/>
    <mergeCell ref="D135:E135"/>
    <mergeCell ref="F153:G153"/>
    <mergeCell ref="B154:C154"/>
    <mergeCell ref="D167:E167"/>
    <mergeCell ref="B168:C168"/>
    <mergeCell ref="B145:C145"/>
    <mergeCell ref="B146:C146"/>
    <mergeCell ref="B147:C147"/>
    <mergeCell ref="B148:C148"/>
    <mergeCell ref="B150:C150"/>
    <mergeCell ref="D153:E153"/>
  </mergeCells>
  <pageMargins left="0.19685039370078741" right="0.19685039370078741" top="0.31496062992125984" bottom="0.19685039370078741" header="3.937007874015748E-2" footer="0.15748031496062992"/>
  <pageSetup paperSize="9" scale="49" fitToHeight="2" orientation="portrait" r:id="rId1"/>
  <rowBreaks count="2" manualBreakCount="2">
    <brk id="49" max="8" man="1"/>
    <brk id="166"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2088-F6BF-4D13-AA7F-B4C9665A400F}">
  <dimension ref="A1:H43"/>
  <sheetViews>
    <sheetView topLeftCell="B5" workbookViewId="0">
      <selection activeCell="C19" sqref="C19"/>
    </sheetView>
  </sheetViews>
  <sheetFormatPr defaultRowHeight="12.5" x14ac:dyDescent="0.25"/>
  <cols>
    <col min="2" max="2" width="34.1796875" bestFit="1" customWidth="1"/>
    <col min="3" max="4" width="17.26953125" bestFit="1" customWidth="1"/>
    <col min="5" max="5" width="9.81640625" bestFit="1" customWidth="1"/>
    <col min="6" max="8" width="15.7265625" bestFit="1" customWidth="1"/>
  </cols>
  <sheetData>
    <row r="1" spans="1:4" ht="14.5" x14ac:dyDescent="0.35">
      <c r="A1" s="13">
        <v>1</v>
      </c>
      <c r="B1" s="14" t="s">
        <v>669</v>
      </c>
      <c r="C1" s="31" t="s">
        <v>687</v>
      </c>
      <c r="D1" s="5" t="s">
        <v>688</v>
      </c>
    </row>
    <row r="2" spans="1:4" ht="13" thickBot="1" x14ac:dyDescent="0.3">
      <c r="A2" s="16"/>
      <c r="B2" s="17" t="s">
        <v>670</v>
      </c>
      <c r="C2" s="32">
        <f>+SUM('BS PnL'!F45:F49)</f>
        <v>559970904.24000001</v>
      </c>
      <c r="D2" s="32">
        <f>+SUM('BS PnL'!G45:G49)</f>
        <v>404453992.38</v>
      </c>
    </row>
    <row r="3" spans="1:4" x14ac:dyDescent="0.25">
      <c r="A3" s="16"/>
      <c r="B3" t="s">
        <v>671</v>
      </c>
      <c r="C3" s="11">
        <f>SUM('BS PnL'!F25:F30)</f>
        <v>182748413.09</v>
      </c>
      <c r="D3" s="11">
        <f>SUM('BS PnL'!G25:G30)</f>
        <v>373325028.31999999</v>
      </c>
    </row>
    <row r="4" spans="1:4" x14ac:dyDescent="0.25">
      <c r="A4" s="16"/>
      <c r="C4" s="11"/>
      <c r="D4" s="11"/>
    </row>
    <row r="5" spans="1:4" ht="14.5" x14ac:dyDescent="0.35">
      <c r="A5" s="13">
        <v>2</v>
      </c>
      <c r="B5" s="14" t="s">
        <v>672</v>
      </c>
      <c r="C5" s="11"/>
      <c r="D5" s="11"/>
    </row>
    <row r="6" spans="1:4" ht="13" thickBot="1" x14ac:dyDescent="0.3">
      <c r="A6" s="16"/>
      <c r="B6" s="17" t="s">
        <v>673</v>
      </c>
      <c r="C6" s="32">
        <f>+'BS PnL'!F19</f>
        <v>0</v>
      </c>
      <c r="D6" s="32">
        <f>+'BS PnL'!G19</f>
        <v>133282158.99999999</v>
      </c>
    </row>
    <row r="7" spans="1:4" x14ac:dyDescent="0.25">
      <c r="A7" s="16"/>
      <c r="B7" t="s">
        <v>384</v>
      </c>
      <c r="C7" s="11">
        <f>+SUM('BS PnL'!F13:F14)</f>
        <v>220373456.65510499</v>
      </c>
      <c r="D7" s="11">
        <f>+SUM('BS PnL'!G13:G14)</f>
        <v>158936471.89834064</v>
      </c>
    </row>
    <row r="8" spans="1:4" x14ac:dyDescent="0.25">
      <c r="A8" s="16"/>
      <c r="C8" s="11"/>
      <c r="D8" s="11"/>
    </row>
    <row r="9" spans="1:4" ht="14.5" x14ac:dyDescent="0.35">
      <c r="A9" s="13">
        <v>3</v>
      </c>
      <c r="B9" s="14" t="s">
        <v>385</v>
      </c>
      <c r="C9" s="11"/>
      <c r="D9" s="11"/>
    </row>
    <row r="10" spans="1:4" ht="13" thickBot="1" x14ac:dyDescent="0.3">
      <c r="A10" s="16"/>
      <c r="B10" s="17" t="s">
        <v>386</v>
      </c>
      <c r="C10" s="32">
        <f>+'BS PnL'!F100-'BS PnL'!F107</f>
        <v>66348305.078812741</v>
      </c>
      <c r="D10" s="32">
        <f>+'BS PnL'!G100-'BS PnL'!G107</f>
        <v>60099159.029999852</v>
      </c>
    </row>
    <row r="11" spans="1:4" x14ac:dyDescent="0.25">
      <c r="A11" s="16"/>
      <c r="B11" t="s">
        <v>387</v>
      </c>
      <c r="C11" s="11">
        <f>+'NOTE (4-12)'!E24+'NOTE (4-12)'!E28+'NOTE (4-12)'!E29+'NOTE (4-12)'!E63+'NOTE (4-12)'!E68+'NOTE (4-12)'!E69+'Note 20-31'!C110+'Note 20-31'!C111+'Note 20-31'!C112+'NOTE (4-12)'!E64+'NOTE (4-12)'!E70</f>
        <v>38186470.189999998</v>
      </c>
      <c r="D11" s="11">
        <f>+'NOTE (4-12)'!F24+'NOTE (4-12)'!F28+'NOTE (4-12)'!F29+'NOTE (4-12)'!F63+'NOTE (4-12)'!F68+'NOTE (4-12)'!F69+'Note 20-31'!D110+'Note 20-31'!D111+'Note 20-31'!D112+'NOTE (4-12)'!F64+'NOTE (4-12)'!F70</f>
        <v>367212997.29999995</v>
      </c>
    </row>
    <row r="12" spans="1:4" x14ac:dyDescent="0.25">
      <c r="A12" s="16"/>
      <c r="C12" s="11"/>
      <c r="D12" s="11"/>
    </row>
    <row r="13" spans="1:4" x14ac:dyDescent="0.25">
      <c r="A13" s="16"/>
    </row>
    <row r="14" spans="1:4" ht="15" x14ac:dyDescent="0.35">
      <c r="A14" s="13">
        <v>3</v>
      </c>
      <c r="B14" s="21" t="s">
        <v>674</v>
      </c>
      <c r="C14" s="6"/>
    </row>
    <row r="15" spans="1:4" ht="13" thickBot="1" x14ac:dyDescent="0.3">
      <c r="A15" s="16"/>
      <c r="B15" s="17" t="s">
        <v>675</v>
      </c>
      <c r="C15" s="22">
        <f>+'BS PnL'!F109</f>
        <v>61436984.756764345</v>
      </c>
      <c r="D15" s="22">
        <f>+'BS PnL'!G109</f>
        <v>58538634.778340653</v>
      </c>
    </row>
    <row r="16" spans="1:4" x14ac:dyDescent="0.25">
      <c r="A16" s="16"/>
      <c r="B16" t="s">
        <v>676</v>
      </c>
      <c r="C16" s="11">
        <f>+SUM('BS PnL'!F13:G14)/2</f>
        <v>189654964.27672282</v>
      </c>
      <c r="D16" s="11">
        <f>+SUM('BS PnL'!G13:H14)/2</f>
        <v>79468235.949170321</v>
      </c>
    </row>
    <row r="17" spans="1:8" x14ac:dyDescent="0.25">
      <c r="A17" s="16"/>
    </row>
    <row r="18" spans="1:8" ht="15" x14ac:dyDescent="0.35">
      <c r="A18" s="13">
        <v>4</v>
      </c>
      <c r="B18" s="21" t="s">
        <v>392</v>
      </c>
      <c r="C18" s="15"/>
    </row>
    <row r="19" spans="1:8" ht="16" thickBot="1" x14ac:dyDescent="0.3">
      <c r="A19" s="16"/>
      <c r="B19" s="23" t="s">
        <v>399</v>
      </c>
      <c r="C19" s="24">
        <f>+'BS PnL'!F83</f>
        <v>1000848780.1800001</v>
      </c>
      <c r="D19" s="24">
        <f>+'BS PnL'!G83</f>
        <v>1046523452.4699999</v>
      </c>
    </row>
    <row r="20" spans="1:8" ht="15.5" x14ac:dyDescent="0.25">
      <c r="A20" s="16"/>
      <c r="B20" s="25" t="s">
        <v>394</v>
      </c>
      <c r="C20" s="33">
        <f>+SUM('BS PnL'!F46:G46)/2</f>
        <v>230768878.83000001</v>
      </c>
      <c r="D20" s="33">
        <f>+SUM('BS PnL'!G46:H46)/2</f>
        <v>104041763.5</v>
      </c>
    </row>
    <row r="21" spans="1:8" x14ac:dyDescent="0.25">
      <c r="A21" s="16"/>
    </row>
    <row r="22" spans="1:8" ht="15" x14ac:dyDescent="0.35">
      <c r="A22" s="13">
        <v>5</v>
      </c>
      <c r="B22" s="26" t="s">
        <v>395</v>
      </c>
      <c r="C22" s="20"/>
    </row>
    <row r="23" spans="1:8" ht="16" thickBot="1" x14ac:dyDescent="0.3">
      <c r="A23" s="16"/>
      <c r="B23" s="23" t="s">
        <v>396</v>
      </c>
      <c r="C23" s="24">
        <f>+('Note 20-31'!C41+'Note 20-31'!C31)</f>
        <v>547841895.01999998</v>
      </c>
      <c r="D23" s="24">
        <f>+('Note 20-31'!D41+'Note 20-31'!D31)</f>
        <v>602022189.75</v>
      </c>
    </row>
    <row r="24" spans="1:8" ht="15.5" x14ac:dyDescent="0.25">
      <c r="A24" s="16"/>
      <c r="B24" s="25" t="s">
        <v>397</v>
      </c>
      <c r="C24" s="33" cm="1">
        <f t="array" ref="C24">+SUM('BS PnL'!F27:F28/2)</f>
        <v>48558424.859999999</v>
      </c>
      <c r="D24" s="33" cm="1">
        <f t="array" ref="D24">+SUM('BS PnL'!G27:G28/2)</f>
        <v>40942120.5</v>
      </c>
    </row>
    <row r="25" spans="1:8" x14ac:dyDescent="0.25">
      <c r="A25" s="16"/>
    </row>
    <row r="26" spans="1:8" ht="15" x14ac:dyDescent="0.35">
      <c r="A26" s="13">
        <v>6</v>
      </c>
      <c r="B26" s="21" t="s">
        <v>398</v>
      </c>
      <c r="C26" s="15"/>
      <c r="F26" s="14">
        <v>2025</v>
      </c>
      <c r="G26" s="14">
        <v>2024</v>
      </c>
      <c r="H26" s="14"/>
    </row>
    <row r="27" spans="1:8" ht="16" thickBot="1" x14ac:dyDescent="0.3">
      <c r="A27" s="16"/>
      <c r="B27" s="23" t="s">
        <v>399</v>
      </c>
      <c r="C27" s="18">
        <f>+C19</f>
        <v>1000848780.1800001</v>
      </c>
      <c r="D27" s="18">
        <f t="shared" ref="D27" si="0">+D19</f>
        <v>1046523452.4699999</v>
      </c>
      <c r="E27" t="s">
        <v>677</v>
      </c>
      <c r="F27" s="19">
        <f>C2</f>
        <v>559970904.24000001</v>
      </c>
      <c r="G27" s="19">
        <v>404798284.38999999</v>
      </c>
      <c r="H27" s="11"/>
    </row>
    <row r="28" spans="1:8" ht="15.5" x14ac:dyDescent="0.25">
      <c r="A28" s="16"/>
      <c r="B28" s="25" t="s">
        <v>678</v>
      </c>
      <c r="C28" s="11">
        <f>(F29+G29)/2</f>
        <v>204347873.60999998</v>
      </c>
      <c r="D28" s="11">
        <v>33622163.483034387</v>
      </c>
      <c r="E28" t="s">
        <v>679</v>
      </c>
      <c r="F28" s="19">
        <f>C3</f>
        <v>182748413.09</v>
      </c>
      <c r="G28" s="19">
        <v>373325028.31999999</v>
      </c>
      <c r="H28" s="11"/>
    </row>
    <row r="29" spans="1:8" x14ac:dyDescent="0.25">
      <c r="A29" s="16"/>
      <c r="D29" s="7"/>
      <c r="E29" t="s">
        <v>680</v>
      </c>
      <c r="F29" s="19">
        <f>F27-F28</f>
        <v>377222491.14999998</v>
      </c>
      <c r="G29" s="19">
        <v>31473256.069999993</v>
      </c>
      <c r="H29" s="19"/>
    </row>
    <row r="30" spans="1:8" x14ac:dyDescent="0.25">
      <c r="A30" s="16"/>
    </row>
    <row r="31" spans="1:8" ht="15" x14ac:dyDescent="0.35">
      <c r="A31" s="13">
        <v>7</v>
      </c>
      <c r="B31" s="26" t="s">
        <v>401</v>
      </c>
      <c r="C31" s="27"/>
    </row>
    <row r="32" spans="1:8" ht="16" thickBot="1" x14ac:dyDescent="0.3">
      <c r="A32" s="16"/>
      <c r="B32" s="23" t="s">
        <v>388</v>
      </c>
      <c r="C32" s="28">
        <f>+C15</f>
        <v>61436984.756764345</v>
      </c>
      <c r="D32" s="28">
        <f t="shared" ref="D32" si="1">+D15</f>
        <v>58538634.778340653</v>
      </c>
    </row>
    <row r="33" spans="1:8" ht="15.5" x14ac:dyDescent="0.25">
      <c r="A33" s="16"/>
      <c r="B33" s="25" t="s">
        <v>402</v>
      </c>
      <c r="C33" s="29">
        <f>+C19</f>
        <v>1000848780.1800001</v>
      </c>
      <c r="D33" s="29">
        <f t="shared" ref="D33" si="2">+D19</f>
        <v>1046523452.4699999</v>
      </c>
    </row>
    <row r="34" spans="1:8" x14ac:dyDescent="0.25">
      <c r="A34" s="16"/>
    </row>
    <row r="35" spans="1:8" ht="15" x14ac:dyDescent="0.35">
      <c r="A35" s="13">
        <v>8</v>
      </c>
      <c r="B35" s="21" t="s">
        <v>403</v>
      </c>
      <c r="C35" s="30"/>
      <c r="D35">
        <v>2022</v>
      </c>
    </row>
    <row r="36" spans="1:8" ht="16" thickBot="1" x14ac:dyDescent="0.35">
      <c r="A36" s="16"/>
      <c r="B36" s="23" t="s">
        <v>404</v>
      </c>
      <c r="C36" s="28">
        <f>+'BS PnL'!F100-'BS PnL'!F102</f>
        <v>90081939.507836819</v>
      </c>
      <c r="D36" s="28">
        <f>+'BS PnL'!G100-'BS PnL'!G102</f>
        <v>76658323.029999852</v>
      </c>
      <c r="F36" s="8">
        <v>2025</v>
      </c>
      <c r="G36" s="8">
        <v>2024</v>
      </c>
    </row>
    <row r="37" spans="1:8" ht="15.5" x14ac:dyDescent="0.25">
      <c r="A37" s="16"/>
      <c r="B37" s="25" t="s">
        <v>405</v>
      </c>
      <c r="C37" s="29">
        <f>F39</f>
        <v>660526675.45686519</v>
      </c>
      <c r="D37" s="29">
        <f t="shared" ref="D37" si="3">G39</f>
        <v>301184676.25465518</v>
      </c>
      <c r="E37" t="s">
        <v>681</v>
      </c>
      <c r="F37" s="19">
        <f>+'BS PnL'!F51</f>
        <v>843275088.54686522</v>
      </c>
      <c r="G37" s="19">
        <v>674509704.57465518</v>
      </c>
    </row>
    <row r="38" spans="1:8" x14ac:dyDescent="0.25">
      <c r="A38" s="16"/>
      <c r="E38" t="s">
        <v>679</v>
      </c>
      <c r="F38" s="19">
        <f>F28</f>
        <v>182748413.09</v>
      </c>
      <c r="G38" s="19">
        <v>373325028.31999999</v>
      </c>
    </row>
    <row r="39" spans="1:8" x14ac:dyDescent="0.25">
      <c r="E39" t="s">
        <v>682</v>
      </c>
      <c r="F39" s="11">
        <f>F37-F38</f>
        <v>660526675.45686519</v>
      </c>
      <c r="G39" s="11">
        <v>301184676.25465518</v>
      </c>
    </row>
    <row r="40" spans="1:8" ht="14.5" x14ac:dyDescent="0.35">
      <c r="A40" s="14">
        <v>9</v>
      </c>
      <c r="B40" s="14" t="s">
        <v>683</v>
      </c>
    </row>
    <row r="41" spans="1:8" ht="15" thickBot="1" x14ac:dyDescent="0.4">
      <c r="B41" s="17" t="s">
        <v>684</v>
      </c>
      <c r="C41" s="32">
        <f>F42+G42-H42</f>
        <v>463173717.44000006</v>
      </c>
      <c r="D41" s="32">
        <f>F43+G43-H43</f>
        <v>555074578.94000006</v>
      </c>
      <c r="E41" s="14" t="s">
        <v>685</v>
      </c>
      <c r="F41" s="8" t="s">
        <v>761</v>
      </c>
      <c r="G41" s="8" t="s">
        <v>762</v>
      </c>
      <c r="H41" s="8" t="s">
        <v>686</v>
      </c>
    </row>
    <row r="42" spans="1:8" ht="13" x14ac:dyDescent="0.3">
      <c r="B42" t="s">
        <v>391</v>
      </c>
      <c r="C42" s="11">
        <f>(F42+H42)/2</f>
        <v>165090913.47999999</v>
      </c>
      <c r="D42" s="11">
        <f>(F43+H43)/2</f>
        <v>99283019.284999996</v>
      </c>
      <c r="E42" s="8">
        <v>2025</v>
      </c>
      <c r="F42" s="6">
        <f>+H43</f>
        <v>122756824.69</v>
      </c>
      <c r="G42" s="19">
        <f>C23</f>
        <v>547841895.01999998</v>
      </c>
      <c r="H42" s="6">
        <f>+'Note (13-20)'!F34</f>
        <v>207425002.26999998</v>
      </c>
    </row>
    <row r="43" spans="1:8" ht="13" x14ac:dyDescent="0.3">
      <c r="E43" s="8">
        <v>2024</v>
      </c>
      <c r="F43" s="6">
        <v>75809213.879999995</v>
      </c>
      <c r="G43" s="19">
        <v>602022189.75</v>
      </c>
      <c r="H43" s="6">
        <v>122756824.69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O172"/>
  <sheetViews>
    <sheetView showGridLines="0" view="pageBreakPreview" zoomScale="90" zoomScaleNormal="100" zoomScaleSheetLayoutView="90" workbookViewId="0">
      <selection activeCell="A169" sqref="A169"/>
    </sheetView>
  </sheetViews>
  <sheetFormatPr defaultColWidth="8.81640625" defaultRowHeight="14" x14ac:dyDescent="0.3"/>
  <cols>
    <col min="1" max="1" width="11.453125" style="95" bestFit="1" customWidth="1"/>
    <col min="2" max="2" width="15.54296875" style="95" customWidth="1"/>
    <col min="3" max="3" width="38.7265625" style="95" customWidth="1"/>
    <col min="4" max="4" width="33.26953125" style="95" customWidth="1"/>
    <col min="5" max="5" width="37.453125" style="95" customWidth="1"/>
    <col min="6" max="6" width="32.453125" style="95" bestFit="1" customWidth="1"/>
    <col min="7" max="7" width="32.54296875" style="95" customWidth="1"/>
    <col min="8" max="8" width="20.54296875" style="95" customWidth="1"/>
    <col min="9" max="9" width="8.54296875" style="95" customWidth="1"/>
    <col min="10" max="10" width="14.7265625" style="95" bestFit="1" customWidth="1"/>
    <col min="11" max="11" width="17.1796875" style="95" bestFit="1" customWidth="1"/>
    <col min="12" max="12" width="13.26953125" style="168" hidden="1" customWidth="1"/>
    <col min="13" max="13" width="29" style="168" hidden="1" customWidth="1"/>
    <col min="14" max="14" width="8.81640625" style="95"/>
    <col min="15" max="15" width="14.453125" style="95" bestFit="1" customWidth="1"/>
    <col min="16" max="16384" width="8.81640625" style="95"/>
  </cols>
  <sheetData>
    <row r="1" spans="1:9" ht="20" x14ac:dyDescent="0.4">
      <c r="A1" s="167" t="str">
        <f>+'Note 20-31'!A1</f>
        <v>ABC INDIA LIMITED</v>
      </c>
    </row>
    <row r="2" spans="1:9" ht="19.5" thickBot="1" x14ac:dyDescent="0.5">
      <c r="A2" s="169" t="str">
        <f>+'Note 20-31'!A2</f>
        <v>Notes to financial statements for the year ended at 31st March 2025</v>
      </c>
      <c r="B2" s="169"/>
      <c r="C2" s="169"/>
      <c r="D2" s="169"/>
      <c r="E2" s="169"/>
      <c r="F2" s="169"/>
      <c r="G2" s="169"/>
      <c r="H2" s="169"/>
      <c r="I2" s="169"/>
    </row>
    <row r="3" spans="1:9" ht="14.5" thickTop="1" x14ac:dyDescent="0.3"/>
    <row r="4" spans="1:9" ht="19" x14ac:dyDescent="0.45">
      <c r="I4" s="170"/>
    </row>
    <row r="6" spans="1:9" ht="19" x14ac:dyDescent="0.45">
      <c r="A6" s="171" t="s">
        <v>289</v>
      </c>
      <c r="B6" s="888" t="s">
        <v>217</v>
      </c>
      <c r="C6" s="888"/>
      <c r="D6" s="888"/>
      <c r="E6" s="888"/>
      <c r="F6" s="888"/>
      <c r="G6" s="888"/>
    </row>
    <row r="7" spans="1:9" ht="19" x14ac:dyDescent="0.45">
      <c r="A7" s="171"/>
      <c r="B7" s="172"/>
      <c r="C7" s="172"/>
      <c r="D7" s="172"/>
      <c r="E7" s="172"/>
      <c r="F7" s="172"/>
      <c r="G7" s="172"/>
    </row>
    <row r="8" spans="1:9" ht="19" x14ac:dyDescent="0.45">
      <c r="A8" s="94"/>
      <c r="B8" s="889" t="s">
        <v>37</v>
      </c>
      <c r="C8" s="889"/>
      <c r="D8" s="889"/>
      <c r="E8" s="173" t="s">
        <v>782</v>
      </c>
      <c r="F8" s="174" t="s">
        <v>565</v>
      </c>
    </row>
    <row r="9" spans="1:9" ht="48.65" customHeight="1" x14ac:dyDescent="0.45">
      <c r="A9" s="94"/>
      <c r="B9" s="890" t="s">
        <v>218</v>
      </c>
      <c r="C9" s="891"/>
      <c r="D9" s="891"/>
      <c r="E9" s="175"/>
      <c r="F9" s="176"/>
      <c r="G9" s="129"/>
    </row>
    <row r="10" spans="1:9" ht="19" x14ac:dyDescent="0.45">
      <c r="A10" s="94"/>
      <c r="B10" s="892" t="s">
        <v>219</v>
      </c>
      <c r="C10" s="892"/>
      <c r="D10" s="892"/>
      <c r="E10" s="177">
        <f>+'BS PnL'!F27</f>
        <v>77661336.140000001</v>
      </c>
      <c r="F10" s="177">
        <f>+'BS PnL'!G27</f>
        <v>59693317</v>
      </c>
    </row>
    <row r="11" spans="1:9" ht="19" x14ac:dyDescent="0.45">
      <c r="A11" s="94"/>
      <c r="B11" s="892" t="s">
        <v>220</v>
      </c>
      <c r="C11" s="892"/>
      <c r="D11" s="892"/>
      <c r="E11" s="495">
        <f>'Note 20-31'!C113</f>
        <v>818207.52</v>
      </c>
      <c r="F11" s="178">
        <v>0</v>
      </c>
    </row>
    <row r="12" spans="1:9" ht="87.65" customHeight="1" x14ac:dyDescent="0.45">
      <c r="A12" s="131"/>
      <c r="B12" s="876" t="s">
        <v>221</v>
      </c>
      <c r="C12" s="876"/>
      <c r="D12" s="876"/>
      <c r="E12" s="178">
        <v>0</v>
      </c>
      <c r="F12" s="178">
        <v>0</v>
      </c>
    </row>
    <row r="13" spans="1:9" ht="82.15" customHeight="1" x14ac:dyDescent="0.45">
      <c r="A13" s="131"/>
      <c r="B13" s="877" t="s">
        <v>222</v>
      </c>
      <c r="C13" s="877"/>
      <c r="D13" s="877"/>
      <c r="E13" s="178"/>
      <c r="F13" s="178"/>
    </row>
    <row r="14" spans="1:9" ht="43.9" customHeight="1" x14ac:dyDescent="0.45">
      <c r="A14" s="131"/>
      <c r="B14" s="878" t="s">
        <v>223</v>
      </c>
      <c r="C14" s="878"/>
      <c r="D14" s="878"/>
      <c r="E14" s="178">
        <v>0</v>
      </c>
      <c r="F14" s="178">
        <v>0</v>
      </c>
    </row>
    <row r="15" spans="1:9" ht="94.15" customHeight="1" x14ac:dyDescent="0.45">
      <c r="A15" s="131"/>
      <c r="B15" s="879" t="s">
        <v>224</v>
      </c>
      <c r="C15" s="879"/>
      <c r="D15" s="879"/>
      <c r="E15" s="179">
        <v>0</v>
      </c>
      <c r="F15" s="179">
        <v>0</v>
      </c>
    </row>
    <row r="18" spans="1:13" ht="19" x14ac:dyDescent="0.45">
      <c r="A18" s="180" t="s">
        <v>363</v>
      </c>
      <c r="B18" s="181" t="s">
        <v>414</v>
      </c>
      <c r="C18" s="182"/>
      <c r="D18" s="182"/>
      <c r="E18" s="182"/>
      <c r="F18" s="182"/>
      <c r="G18" s="182"/>
      <c r="I18" s="183"/>
    </row>
    <row r="19" spans="1:13" ht="19" x14ac:dyDescent="0.45">
      <c r="A19" s="180"/>
      <c r="B19" s="181"/>
      <c r="C19" s="182"/>
      <c r="D19" s="182"/>
      <c r="E19" s="182"/>
      <c r="F19" s="182"/>
      <c r="G19" s="182"/>
    </row>
    <row r="20" spans="1:13" ht="19" x14ac:dyDescent="0.45">
      <c r="A20" s="184"/>
      <c r="B20" s="182" t="s">
        <v>415</v>
      </c>
      <c r="C20" s="182"/>
      <c r="D20" s="182"/>
      <c r="E20" s="182"/>
      <c r="F20" s="182"/>
      <c r="G20" s="182"/>
      <c r="H20" s="182"/>
    </row>
    <row r="21" spans="1:13" ht="19" x14ac:dyDescent="0.45">
      <c r="A21" s="182"/>
      <c r="B21" s="882" t="s">
        <v>416</v>
      </c>
      <c r="C21" s="882"/>
      <c r="D21" s="882"/>
      <c r="E21" s="883" t="s">
        <v>783</v>
      </c>
      <c r="F21" s="883"/>
      <c r="G21" s="827" t="s">
        <v>464</v>
      </c>
      <c r="H21" s="829"/>
      <c r="K21" s="168"/>
      <c r="M21" s="95"/>
    </row>
    <row r="22" spans="1:13" ht="38" x14ac:dyDescent="0.45">
      <c r="A22" s="182"/>
      <c r="B22" s="882"/>
      <c r="C22" s="882"/>
      <c r="D22" s="882"/>
      <c r="E22" s="174" t="s">
        <v>417</v>
      </c>
      <c r="F22" s="174" t="s">
        <v>418</v>
      </c>
      <c r="G22" s="174" t="s">
        <v>417</v>
      </c>
      <c r="H22" s="185" t="s">
        <v>418</v>
      </c>
      <c r="K22" s="168"/>
      <c r="M22" s="95"/>
    </row>
    <row r="23" spans="1:13" ht="19" x14ac:dyDescent="0.45">
      <c r="A23" s="182"/>
      <c r="B23" s="884" t="s">
        <v>866</v>
      </c>
      <c r="C23" s="885"/>
      <c r="D23" s="886"/>
      <c r="E23" s="90">
        <f>'Note (13-20)'!E12</f>
        <v>0</v>
      </c>
      <c r="F23" s="90">
        <f>'Note (13-20)'!F12</f>
        <v>1780879.5</v>
      </c>
      <c r="G23" s="90">
        <v>0</v>
      </c>
      <c r="H23" s="90">
        <v>1780879.5</v>
      </c>
      <c r="K23" s="168"/>
      <c r="M23" s="95"/>
    </row>
    <row r="24" spans="1:13" ht="19" x14ac:dyDescent="0.45">
      <c r="B24" s="884" t="s">
        <v>867</v>
      </c>
      <c r="C24" s="885"/>
      <c r="D24" s="886"/>
      <c r="E24" s="90">
        <f>'Note (13-20)'!E14</f>
        <v>0</v>
      </c>
      <c r="F24" s="90">
        <f>'Note (13-20)'!F14</f>
        <v>2548225</v>
      </c>
      <c r="G24" s="90">
        <v>0</v>
      </c>
      <c r="H24" s="90">
        <v>2548225</v>
      </c>
      <c r="K24" s="168"/>
      <c r="M24" s="95"/>
    </row>
    <row r="25" spans="1:13" ht="19" x14ac:dyDescent="0.45">
      <c r="B25" s="186"/>
      <c r="C25" s="186"/>
      <c r="D25" s="186"/>
      <c r="E25" s="187"/>
      <c r="F25" s="187"/>
      <c r="G25" s="187"/>
      <c r="H25" s="187"/>
      <c r="K25" s="168"/>
      <c r="M25" s="95"/>
    </row>
    <row r="26" spans="1:13" ht="19" x14ac:dyDescent="0.45">
      <c r="B26" s="182" t="s">
        <v>667</v>
      </c>
      <c r="C26" s="182"/>
      <c r="D26" s="182"/>
      <c r="E26" s="182"/>
      <c r="F26" s="182"/>
      <c r="G26" s="182"/>
      <c r="H26" s="182"/>
      <c r="K26" s="168"/>
      <c r="M26" s="95"/>
    </row>
    <row r="27" spans="1:13" ht="19" x14ac:dyDescent="0.45">
      <c r="B27" s="882" t="s">
        <v>665</v>
      </c>
      <c r="C27" s="882"/>
      <c r="D27" s="882"/>
      <c r="E27" s="883" t="str">
        <f>E21</f>
        <v>As at 31st March, 2025</v>
      </c>
      <c r="F27" s="883"/>
      <c r="G27" s="827" t="str">
        <f>G21</f>
        <v>As at 31st March, 2024</v>
      </c>
      <c r="H27" s="829"/>
      <c r="K27" s="168"/>
      <c r="M27" s="95"/>
    </row>
    <row r="28" spans="1:13" ht="38" x14ac:dyDescent="0.45">
      <c r="B28" s="882"/>
      <c r="C28" s="882"/>
      <c r="D28" s="882"/>
      <c r="E28" s="174" t="s">
        <v>666</v>
      </c>
      <c r="F28" s="174" t="s">
        <v>418</v>
      </c>
      <c r="G28" s="174" t="s">
        <v>666</v>
      </c>
      <c r="H28" s="185" t="s">
        <v>418</v>
      </c>
      <c r="K28" s="168"/>
      <c r="M28" s="95"/>
    </row>
    <row r="29" spans="1:13" ht="19" x14ac:dyDescent="0.45">
      <c r="B29" s="884" t="s">
        <v>868</v>
      </c>
      <c r="C29" s="885"/>
      <c r="D29" s="886"/>
      <c r="E29" s="90">
        <v>3915000</v>
      </c>
      <c r="F29" s="90">
        <f>+'Note (13-20)'!F71</f>
        <v>9549877.8000000007</v>
      </c>
      <c r="G29" s="90">
        <v>18000000</v>
      </c>
      <c r="H29" s="90">
        <f>+'Note (13-20)'!G71</f>
        <v>5852359.5300000003</v>
      </c>
      <c r="K29" s="168"/>
      <c r="M29" s="95"/>
    </row>
    <row r="31" spans="1:13" ht="19" x14ac:dyDescent="0.45">
      <c r="A31" s="180" t="s">
        <v>409</v>
      </c>
      <c r="B31" s="188" t="s">
        <v>375</v>
      </c>
      <c r="C31" s="189"/>
      <c r="D31" s="189"/>
      <c r="E31" s="189"/>
      <c r="F31" s="182"/>
      <c r="G31" s="182"/>
      <c r="H31" s="182"/>
      <c r="I31" s="182"/>
      <c r="J31" s="129"/>
      <c r="L31" s="95"/>
      <c r="M31" s="95"/>
    </row>
    <row r="32" spans="1:13" ht="19" x14ac:dyDescent="0.45">
      <c r="A32" s="181"/>
      <c r="B32" s="188"/>
      <c r="C32" s="189"/>
      <c r="D32" s="189"/>
      <c r="E32" s="189"/>
      <c r="F32" s="182"/>
      <c r="G32" s="182"/>
      <c r="H32" s="182"/>
      <c r="I32" s="182"/>
      <c r="J32" s="129"/>
      <c r="L32" s="168">
        <v>893598</v>
      </c>
      <c r="M32" s="168">
        <v>672255</v>
      </c>
    </row>
    <row r="33" spans="1:13" ht="52.9" customHeight="1" x14ac:dyDescent="0.45">
      <c r="A33" s="140"/>
      <c r="B33" s="791" t="s">
        <v>376</v>
      </c>
      <c r="C33" s="791"/>
      <c r="D33" s="190" t="s">
        <v>377</v>
      </c>
      <c r="E33" s="190" t="s">
        <v>378</v>
      </c>
      <c r="F33" s="191" t="s">
        <v>817</v>
      </c>
      <c r="G33" s="191" t="s">
        <v>818</v>
      </c>
      <c r="H33" s="191" t="s">
        <v>379</v>
      </c>
      <c r="I33" s="192" t="s">
        <v>380</v>
      </c>
      <c r="J33" s="129"/>
      <c r="L33" s="168">
        <v>114196</v>
      </c>
      <c r="M33" s="168">
        <v>75879</v>
      </c>
    </row>
    <row r="34" spans="1:13" ht="19" x14ac:dyDescent="0.45">
      <c r="A34" s="182"/>
      <c r="B34" s="861" t="s">
        <v>381</v>
      </c>
      <c r="C34" s="861"/>
      <c r="D34" s="193" t="s">
        <v>86</v>
      </c>
      <c r="E34" s="193" t="s">
        <v>76</v>
      </c>
      <c r="F34" s="509">
        <f>+Ratio_working!C2/Ratio_working!C3</f>
        <v>3.0641628825757592</v>
      </c>
      <c r="G34" s="509">
        <f>+Ratio_working!D2/Ratio_working!D3</f>
        <v>1.0833830086348173</v>
      </c>
      <c r="H34" s="508">
        <f t="shared" ref="H34:H43" si="0">(F34-G34)/G34</f>
        <v>1.8283283549341836</v>
      </c>
      <c r="I34" s="194"/>
      <c r="J34" s="129"/>
      <c r="L34" s="168">
        <v>93283</v>
      </c>
      <c r="M34" s="168">
        <v>103313</v>
      </c>
    </row>
    <row r="35" spans="1:13" ht="19" x14ac:dyDescent="0.45">
      <c r="A35" s="182"/>
      <c r="B35" s="861" t="s">
        <v>382</v>
      </c>
      <c r="C35" s="861"/>
      <c r="D35" s="193" t="s">
        <v>383</v>
      </c>
      <c r="E35" s="193" t="s">
        <v>384</v>
      </c>
      <c r="F35" s="509">
        <f>+Ratio_working!C6/Ratio_working!C7</f>
        <v>0</v>
      </c>
      <c r="G35" s="509">
        <f>+Ratio_working!D6/Ratio_working!D7</f>
        <v>0.83858762817668597</v>
      </c>
      <c r="H35" s="508">
        <f t="shared" si="0"/>
        <v>-1</v>
      </c>
      <c r="I35" s="194" t="s">
        <v>452</v>
      </c>
      <c r="J35" s="129"/>
      <c r="L35" s="168">
        <v>39227</v>
      </c>
      <c r="M35" s="168">
        <v>1011793</v>
      </c>
    </row>
    <row r="36" spans="1:13" ht="38" x14ac:dyDescent="0.45">
      <c r="A36" s="182"/>
      <c r="B36" s="861" t="s">
        <v>385</v>
      </c>
      <c r="C36" s="861"/>
      <c r="D36" s="195" t="s">
        <v>386</v>
      </c>
      <c r="E36" s="193" t="s">
        <v>387</v>
      </c>
      <c r="F36" s="509">
        <f>+Ratio_working!C10/Ratio_working!C11</f>
        <v>1.7374820125738557</v>
      </c>
      <c r="G36" s="509">
        <f>+Ratio_working!D10/Ratio_working!D11</f>
        <v>0.16366294077794033</v>
      </c>
      <c r="H36" s="508">
        <f t="shared" si="0"/>
        <v>9.6162213896137327</v>
      </c>
      <c r="I36" s="194"/>
      <c r="J36" s="129"/>
      <c r="L36" s="168">
        <v>320037</v>
      </c>
      <c r="M36" s="168">
        <v>187000</v>
      </c>
    </row>
    <row r="37" spans="1:13" ht="19" x14ac:dyDescent="0.45">
      <c r="A37" s="182"/>
      <c r="B37" s="861" t="s">
        <v>451</v>
      </c>
      <c r="C37" s="861"/>
      <c r="D37" s="193" t="s">
        <v>388</v>
      </c>
      <c r="E37" s="193" t="s">
        <v>389</v>
      </c>
      <c r="F37" s="510">
        <f>+Ratio_working!C15/Ratio_working!C16</f>
        <v>0.32394082058997692</v>
      </c>
      <c r="G37" s="510">
        <f>+Ratio_working!D15/Ratio_working!D16</f>
        <v>0.7366293473002633</v>
      </c>
      <c r="H37" s="508">
        <f t="shared" si="0"/>
        <v>-0.56023905132585916</v>
      </c>
      <c r="I37" s="194"/>
      <c r="J37" s="129"/>
      <c r="L37" s="168">
        <v>362946</v>
      </c>
      <c r="M37" s="168">
        <v>1637000</v>
      </c>
    </row>
    <row r="38" spans="1:13" ht="19" x14ac:dyDescent="0.45">
      <c r="A38" s="182"/>
      <c r="B38" s="861" t="s">
        <v>390</v>
      </c>
      <c r="C38" s="861"/>
      <c r="D38" s="193" t="s">
        <v>689</v>
      </c>
      <c r="E38" s="193" t="s">
        <v>391</v>
      </c>
      <c r="F38" s="509">
        <f>+Ratio_working!C41/Ratio_working!C42</f>
        <v>2.8055675971295138</v>
      </c>
      <c r="G38" s="509">
        <f>+Ratio_working!D41/Ratio_working!D42</f>
        <v>5.5908309692578273</v>
      </c>
      <c r="H38" s="508">
        <f t="shared" si="0"/>
        <v>-0.49818414962705487</v>
      </c>
      <c r="I38" s="194" t="s">
        <v>453</v>
      </c>
      <c r="J38" s="129"/>
      <c r="L38" s="168">
        <v>1146021</v>
      </c>
      <c r="M38" s="168">
        <v>33637</v>
      </c>
    </row>
    <row r="39" spans="1:13" ht="19" x14ac:dyDescent="0.45">
      <c r="A39" s="182"/>
      <c r="B39" s="861" t="s">
        <v>392</v>
      </c>
      <c r="C39" s="861"/>
      <c r="D39" s="193" t="s">
        <v>393</v>
      </c>
      <c r="E39" s="193" t="s">
        <v>394</v>
      </c>
      <c r="F39" s="509">
        <f>+Ratio_working!C19/Ratio_working!C20</f>
        <v>4.3370179950360335</v>
      </c>
      <c r="G39" s="509">
        <f>+Ratio_working!D19/Ratio_working!D20</f>
        <v>10.058686216617232</v>
      </c>
      <c r="H39" s="508">
        <f t="shared" si="0"/>
        <v>-0.56882858241753698</v>
      </c>
      <c r="I39" s="194" t="s">
        <v>454</v>
      </c>
      <c r="J39" s="129"/>
      <c r="L39" s="168">
        <v>2592479</v>
      </c>
      <c r="M39" s="168">
        <v>1416180</v>
      </c>
    </row>
    <row r="40" spans="1:13" ht="23.5" customHeight="1" x14ac:dyDescent="0.45">
      <c r="A40" s="182"/>
      <c r="B40" s="861" t="s">
        <v>395</v>
      </c>
      <c r="C40" s="861"/>
      <c r="D40" s="193" t="s">
        <v>396</v>
      </c>
      <c r="E40" s="193" t="s">
        <v>397</v>
      </c>
      <c r="F40" s="509">
        <f>+Ratio_working!C23/Ratio_working!C24</f>
        <v>11.282118326521022</v>
      </c>
      <c r="G40" s="509">
        <f>+Ratio_working!D23/Ratio_working!D24</f>
        <v>14.704225926695711</v>
      </c>
      <c r="H40" s="508">
        <f t="shared" si="0"/>
        <v>-0.23272953076447286</v>
      </c>
      <c r="I40" s="194"/>
      <c r="J40" s="129"/>
      <c r="L40" s="168">
        <v>826104</v>
      </c>
      <c r="M40" s="168">
        <v>964134</v>
      </c>
    </row>
    <row r="41" spans="1:13" ht="19" x14ac:dyDescent="0.45">
      <c r="A41" s="182"/>
      <c r="B41" s="861" t="s">
        <v>398</v>
      </c>
      <c r="C41" s="861"/>
      <c r="D41" s="193" t="s">
        <v>399</v>
      </c>
      <c r="E41" s="193" t="s">
        <v>400</v>
      </c>
      <c r="F41" s="509">
        <f>+Ratio_working!C27/Ratio_working!C28</f>
        <v>4.8977694873895787</v>
      </c>
      <c r="G41" s="509">
        <f>+Ratio_working!D27/Ratio_working!D28</f>
        <v>31.125999759000386</v>
      </c>
      <c r="H41" s="508">
        <f t="shared" si="0"/>
        <v>-0.84264699847999769</v>
      </c>
      <c r="I41" s="194" t="s">
        <v>847</v>
      </c>
      <c r="J41" s="129"/>
      <c r="L41" s="168">
        <v>193264</v>
      </c>
      <c r="M41" s="168">
        <v>2895975</v>
      </c>
    </row>
    <row r="42" spans="1:13" ht="19" x14ac:dyDescent="0.45">
      <c r="A42" s="182"/>
      <c r="B42" s="861" t="s">
        <v>401</v>
      </c>
      <c r="C42" s="861"/>
      <c r="D42" s="193" t="s">
        <v>388</v>
      </c>
      <c r="E42" s="193" t="s">
        <v>402</v>
      </c>
      <c r="F42" s="509">
        <f>+Ratio_working!C32/Ratio_working!C33</f>
        <v>6.138488248515931E-2</v>
      </c>
      <c r="G42" s="509">
        <f>+Ratio_working!D32/Ratio_working!D33</f>
        <v>5.593628565148543E-2</v>
      </c>
      <c r="H42" s="508">
        <f t="shared" si="0"/>
        <v>9.7407197675256948E-2</v>
      </c>
      <c r="I42" s="194"/>
      <c r="J42" s="129"/>
      <c r="L42" s="168">
        <v>283286</v>
      </c>
    </row>
    <row r="43" spans="1:13" ht="38" x14ac:dyDescent="0.45">
      <c r="A43" s="182"/>
      <c r="B43" s="861" t="s">
        <v>403</v>
      </c>
      <c r="C43" s="861"/>
      <c r="D43" s="195" t="s">
        <v>404</v>
      </c>
      <c r="E43" s="193" t="s">
        <v>405</v>
      </c>
      <c r="F43" s="510">
        <f>+Ratio_working!C36/Ratio_working!C37</f>
        <v>0.13637895766364019</v>
      </c>
      <c r="G43" s="510">
        <f>+Ratio_working!D36/Ratio_working!D37</f>
        <v>0.25452265361994825</v>
      </c>
      <c r="H43" s="508">
        <f t="shared" si="0"/>
        <v>-0.46417752713170884</v>
      </c>
      <c r="I43" s="194"/>
      <c r="J43" s="129"/>
      <c r="L43" s="168">
        <v>1548945</v>
      </c>
    </row>
    <row r="44" spans="1:13" ht="38" x14ac:dyDescent="0.45">
      <c r="A44" s="182"/>
      <c r="B44" s="863" t="s">
        <v>406</v>
      </c>
      <c r="C44" s="864"/>
      <c r="D44" s="195" t="s">
        <v>407</v>
      </c>
      <c r="E44" s="195" t="s">
        <v>408</v>
      </c>
      <c r="F44" s="511" t="s">
        <v>432</v>
      </c>
      <c r="G44" s="511" t="s">
        <v>432</v>
      </c>
      <c r="H44" s="196" t="s">
        <v>432</v>
      </c>
      <c r="I44" s="194"/>
      <c r="J44" s="129"/>
      <c r="L44" s="168">
        <v>214252</v>
      </c>
    </row>
    <row r="45" spans="1:13" ht="19" x14ac:dyDescent="0.45">
      <c r="A45" s="182"/>
      <c r="B45" s="512"/>
      <c r="C45" s="512"/>
      <c r="D45" s="513"/>
      <c r="E45" s="513"/>
      <c r="F45" s="514"/>
      <c r="G45" s="514"/>
      <c r="H45" s="515"/>
      <c r="I45" s="516"/>
      <c r="J45" s="129"/>
    </row>
    <row r="46" spans="1:13" ht="19" x14ac:dyDescent="0.45">
      <c r="A46" s="182" t="s">
        <v>39</v>
      </c>
      <c r="B46" s="517" t="s">
        <v>846</v>
      </c>
      <c r="C46" s="512"/>
      <c r="D46" s="513"/>
      <c r="E46" s="513"/>
      <c r="F46" s="514"/>
      <c r="G46" s="514"/>
      <c r="H46" s="515"/>
      <c r="I46" s="516"/>
      <c r="J46" s="129"/>
    </row>
    <row r="47" spans="1:13" ht="19" x14ac:dyDescent="0.45">
      <c r="A47" s="182" t="s">
        <v>40</v>
      </c>
      <c r="B47" s="517" t="s">
        <v>813</v>
      </c>
      <c r="C47" s="512"/>
      <c r="D47" s="513"/>
      <c r="E47" s="513"/>
      <c r="F47" s="514"/>
      <c r="G47" s="514"/>
      <c r="H47" s="515"/>
      <c r="I47" s="516"/>
      <c r="J47" s="129"/>
    </row>
    <row r="48" spans="1:13" ht="19" x14ac:dyDescent="0.45">
      <c r="A48" s="182" t="s">
        <v>334</v>
      </c>
      <c r="B48" s="517" t="s">
        <v>815</v>
      </c>
      <c r="C48" s="512"/>
      <c r="D48" s="513"/>
      <c r="E48" s="513"/>
      <c r="F48" s="514"/>
      <c r="G48" s="514"/>
      <c r="H48" s="515"/>
      <c r="I48" s="516"/>
      <c r="J48" s="129"/>
    </row>
    <row r="49" spans="1:13" ht="19" x14ac:dyDescent="0.45">
      <c r="A49" s="182" t="s">
        <v>335</v>
      </c>
      <c r="B49" s="517" t="s">
        <v>814</v>
      </c>
      <c r="C49" s="512"/>
      <c r="D49" s="513"/>
      <c r="E49" s="513"/>
      <c r="F49" s="514"/>
      <c r="G49" s="514"/>
      <c r="H49" s="515"/>
      <c r="I49" s="516"/>
      <c r="J49" s="129"/>
    </row>
    <row r="50" spans="1:13" ht="19" x14ac:dyDescent="0.45">
      <c r="A50" s="129"/>
      <c r="B50" s="129"/>
      <c r="C50" s="129"/>
      <c r="D50" s="129"/>
      <c r="E50" s="129"/>
      <c r="F50" s="129"/>
      <c r="G50" s="129"/>
      <c r="H50" s="129"/>
      <c r="I50" s="129"/>
      <c r="J50" s="129"/>
      <c r="L50" s="168">
        <v>1238624</v>
      </c>
    </row>
    <row r="51" spans="1:13" ht="19" x14ac:dyDescent="0.45">
      <c r="I51" s="183"/>
      <c r="L51" s="197">
        <f>SUM(L32:L50)</f>
        <v>9866262</v>
      </c>
      <c r="M51" s="197">
        <f>SUM(M32:M50)</f>
        <v>8997166</v>
      </c>
    </row>
    <row r="52" spans="1:13" ht="19" x14ac:dyDescent="0.45">
      <c r="I52" s="183"/>
      <c r="L52" s="197"/>
      <c r="M52" s="197"/>
    </row>
    <row r="53" spans="1:13" ht="19" x14ac:dyDescent="0.45">
      <c r="A53" s="140" t="s">
        <v>455</v>
      </c>
      <c r="B53" s="613" t="s">
        <v>520</v>
      </c>
      <c r="C53" s="613"/>
      <c r="D53" s="613"/>
      <c r="E53" s="613"/>
      <c r="F53" s="613"/>
      <c r="G53" s="613"/>
      <c r="H53" s="613"/>
      <c r="I53" s="613"/>
      <c r="J53" s="613"/>
      <c r="K53" s="613"/>
      <c r="L53" s="129"/>
      <c r="M53" s="197"/>
    </row>
    <row r="54" spans="1:13" ht="19" x14ac:dyDescent="0.45">
      <c r="A54" s="129"/>
      <c r="B54" s="129"/>
      <c r="C54" s="129"/>
      <c r="D54" s="129"/>
      <c r="E54" s="129"/>
      <c r="F54" s="129"/>
      <c r="G54" s="129"/>
      <c r="H54" s="129"/>
      <c r="I54" s="129"/>
      <c r="J54" s="129"/>
      <c r="K54" s="129"/>
      <c r="L54" s="129"/>
      <c r="M54" s="197"/>
    </row>
    <row r="55" spans="1:13" ht="19" x14ac:dyDescent="0.45">
      <c r="A55" s="129"/>
      <c r="B55" s="785" t="s">
        <v>37</v>
      </c>
      <c r="C55" s="786"/>
      <c r="D55" s="786"/>
      <c r="E55" s="787"/>
      <c r="F55" s="144" t="s">
        <v>768</v>
      </c>
      <c r="G55" s="144" t="s">
        <v>459</v>
      </c>
      <c r="H55" s="129"/>
      <c r="I55" s="129"/>
      <c r="L55" s="129"/>
      <c r="M55" s="197"/>
    </row>
    <row r="56" spans="1:13" ht="19" x14ac:dyDescent="0.45">
      <c r="A56" s="129"/>
      <c r="B56" s="394" t="s">
        <v>456</v>
      </c>
      <c r="C56" s="111"/>
      <c r="D56" s="111"/>
      <c r="E56" s="111"/>
      <c r="F56" s="496"/>
      <c r="G56" s="496"/>
      <c r="H56" s="129"/>
      <c r="I56" s="129"/>
      <c r="L56" s="129"/>
      <c r="M56" s="197"/>
    </row>
    <row r="57" spans="1:13" ht="19" x14ac:dyDescent="0.45">
      <c r="A57" s="129"/>
      <c r="B57" s="198" t="s">
        <v>457</v>
      </c>
      <c r="C57" s="2"/>
      <c r="D57" s="2"/>
      <c r="E57" s="2"/>
      <c r="F57" s="113"/>
      <c r="G57" s="113"/>
      <c r="H57" s="129"/>
      <c r="I57" s="129"/>
      <c r="L57" s="129"/>
      <c r="M57" s="197"/>
    </row>
    <row r="58" spans="1:13" ht="19" x14ac:dyDescent="0.45">
      <c r="B58" s="198" t="s">
        <v>458</v>
      </c>
      <c r="C58" s="497"/>
      <c r="D58" s="497"/>
      <c r="E58" s="497"/>
      <c r="F58" s="113">
        <v>23001213</v>
      </c>
      <c r="G58" s="113">
        <v>23001213</v>
      </c>
      <c r="L58" s="197"/>
      <c r="M58" s="197"/>
    </row>
    <row r="59" spans="1:13" ht="19" x14ac:dyDescent="0.45">
      <c r="B59" s="198"/>
      <c r="C59" s="497"/>
      <c r="D59" s="497"/>
      <c r="E59" s="497"/>
      <c r="F59" s="113"/>
      <c r="G59" s="113"/>
      <c r="L59" s="197"/>
      <c r="M59" s="197"/>
    </row>
    <row r="60" spans="1:13" ht="19" x14ac:dyDescent="0.45">
      <c r="B60" s="498" t="s">
        <v>521</v>
      </c>
      <c r="C60" s="497"/>
      <c r="D60" s="497"/>
      <c r="E60" s="497"/>
      <c r="F60" s="113"/>
      <c r="G60" s="113"/>
      <c r="L60" s="197"/>
      <c r="M60" s="197"/>
    </row>
    <row r="61" spans="1:13" ht="19" x14ac:dyDescent="0.45">
      <c r="B61" s="198" t="s">
        <v>728</v>
      </c>
      <c r="C61" s="497"/>
      <c r="D61" s="497"/>
      <c r="E61" s="497"/>
      <c r="F61" s="113">
        <v>0</v>
      </c>
      <c r="G61" s="113">
        <v>0</v>
      </c>
      <c r="L61" s="197"/>
      <c r="M61" s="197"/>
    </row>
    <row r="62" spans="1:13" ht="19" x14ac:dyDescent="0.45">
      <c r="B62" s="198"/>
      <c r="C62" s="497"/>
      <c r="D62" s="497"/>
      <c r="E62" s="497"/>
      <c r="F62" s="113"/>
      <c r="G62" s="113"/>
      <c r="L62" s="197"/>
      <c r="M62" s="197"/>
    </row>
    <row r="63" spans="1:13" ht="19" x14ac:dyDescent="0.45">
      <c r="B63" s="498" t="s">
        <v>522</v>
      </c>
      <c r="C63" s="497"/>
      <c r="D63" s="497"/>
      <c r="E63" s="497"/>
      <c r="F63" s="113"/>
      <c r="G63" s="113"/>
      <c r="L63" s="197"/>
      <c r="M63" s="197"/>
    </row>
    <row r="64" spans="1:13" ht="37.9" customHeight="1" x14ac:dyDescent="0.45">
      <c r="B64" s="758" t="s">
        <v>729</v>
      </c>
      <c r="C64" s="759"/>
      <c r="D64" s="759"/>
      <c r="E64" s="760"/>
      <c r="F64" s="113">
        <v>0</v>
      </c>
      <c r="G64" s="113">
        <v>0</v>
      </c>
      <c r="L64" s="197"/>
      <c r="M64" s="197"/>
    </row>
    <row r="65" spans="1:15" ht="18" customHeight="1" thickBot="1" x14ac:dyDescent="0.5">
      <c r="B65" s="499"/>
      <c r="C65" s="500"/>
      <c r="D65" s="500"/>
      <c r="E65" s="500"/>
      <c r="F65" s="164">
        <f>SUM(F58:F58)</f>
        <v>23001213</v>
      </c>
      <c r="G65" s="164">
        <f>SUM(G58:G58)</f>
        <v>23001213</v>
      </c>
      <c r="L65" s="197"/>
      <c r="M65" s="197"/>
    </row>
    <row r="66" spans="1:15" ht="14.5" thickTop="1" x14ac:dyDescent="0.3">
      <c r="B66" s="497"/>
      <c r="C66" s="497"/>
      <c r="D66" s="497"/>
      <c r="E66" s="497"/>
      <c r="F66" s="497"/>
      <c r="G66" s="497"/>
      <c r="L66" s="197"/>
      <c r="M66" s="197"/>
    </row>
    <row r="67" spans="1:15" x14ac:dyDescent="0.3">
      <c r="L67" s="197"/>
      <c r="M67" s="197"/>
    </row>
    <row r="68" spans="1:15" ht="19" x14ac:dyDescent="0.45">
      <c r="A68" s="140" t="s">
        <v>419</v>
      </c>
      <c r="B68" s="141" t="s">
        <v>260</v>
      </c>
      <c r="C68" s="10"/>
      <c r="D68" s="10"/>
      <c r="E68" s="129"/>
      <c r="F68" s="199"/>
      <c r="G68" s="111"/>
      <c r="H68" s="111"/>
      <c r="I68" s="111"/>
    </row>
    <row r="69" spans="1:15" ht="26.25" customHeight="1" x14ac:dyDescent="0.45">
      <c r="A69" s="10"/>
      <c r="B69" s="141" t="s">
        <v>261</v>
      </c>
      <c r="C69" s="10"/>
      <c r="D69" s="10"/>
      <c r="E69" s="182"/>
      <c r="F69" s="199"/>
      <c r="G69" s="111"/>
      <c r="H69" s="111"/>
      <c r="I69" s="111"/>
      <c r="J69" s="111"/>
      <c r="K69" s="111"/>
      <c r="L69" s="200"/>
      <c r="M69" s="200"/>
      <c r="N69" s="129"/>
      <c r="O69" s="129"/>
    </row>
    <row r="70" spans="1:15" ht="19" x14ac:dyDescent="0.45">
      <c r="A70" s="10"/>
      <c r="B70" s="201" t="s">
        <v>869</v>
      </c>
      <c r="C70" s="10"/>
      <c r="D70" s="10"/>
      <c r="E70" s="182"/>
      <c r="F70" s="199"/>
      <c r="G70" s="111"/>
      <c r="H70" s="111"/>
      <c r="I70" s="111"/>
      <c r="J70" s="111"/>
      <c r="K70" s="111"/>
      <c r="L70" s="200"/>
      <c r="M70" s="200"/>
      <c r="N70" s="129"/>
      <c r="O70" s="129"/>
    </row>
    <row r="71" spans="1:15" ht="19" x14ac:dyDescent="0.45">
      <c r="A71" s="10"/>
      <c r="B71" s="201" t="s">
        <v>870</v>
      </c>
      <c r="C71" s="10"/>
      <c r="D71" s="10"/>
      <c r="E71" s="182"/>
      <c r="F71" s="199"/>
      <c r="G71" s="111"/>
      <c r="H71" s="111"/>
      <c r="I71" s="111"/>
      <c r="J71" s="111"/>
      <c r="K71" s="111"/>
      <c r="L71" s="200"/>
      <c r="M71" s="200"/>
      <c r="N71" s="129"/>
      <c r="O71" s="129"/>
    </row>
    <row r="72" spans="1:15" ht="19" hidden="1" x14ac:dyDescent="0.45">
      <c r="A72" s="10"/>
      <c r="B72" s="201" t="s">
        <v>448</v>
      </c>
      <c r="C72" s="10"/>
      <c r="D72" s="10"/>
      <c r="E72" s="182"/>
      <c r="F72" s="199"/>
      <c r="G72" s="111"/>
      <c r="H72" s="111"/>
      <c r="I72" s="111"/>
      <c r="J72" s="111"/>
      <c r="K72" s="111"/>
      <c r="L72" s="200"/>
      <c r="M72" s="200"/>
      <c r="N72" s="129"/>
      <c r="O72" s="129"/>
    </row>
    <row r="73" spans="1:15" ht="19" x14ac:dyDescent="0.45">
      <c r="A73" s="10"/>
      <c r="B73" s="201" t="s">
        <v>871</v>
      </c>
      <c r="C73" s="10"/>
      <c r="D73" s="10"/>
      <c r="E73" s="182"/>
      <c r="F73" s="199"/>
      <c r="G73" s="111"/>
      <c r="H73" s="111"/>
      <c r="I73" s="111"/>
      <c r="J73" s="111"/>
      <c r="K73" s="111"/>
      <c r="L73" s="200"/>
      <c r="M73" s="200"/>
      <c r="N73" s="129"/>
      <c r="O73" s="129"/>
    </row>
    <row r="74" spans="1:15" ht="19" x14ac:dyDescent="0.45">
      <c r="A74" s="10"/>
      <c r="B74" s="201" t="s">
        <v>872</v>
      </c>
      <c r="C74" s="10"/>
      <c r="D74" s="10"/>
      <c r="E74" s="182"/>
      <c r="G74" s="111"/>
      <c r="H74" s="111"/>
      <c r="I74" s="111"/>
      <c r="J74" s="111"/>
      <c r="K74" s="111"/>
      <c r="L74" s="200"/>
      <c r="M74" s="200"/>
      <c r="N74" s="129"/>
      <c r="O74" s="129"/>
    </row>
    <row r="75" spans="1:15" ht="19" x14ac:dyDescent="0.45">
      <c r="A75" s="10"/>
      <c r="B75" s="201" t="s">
        <v>873</v>
      </c>
      <c r="C75" s="10"/>
      <c r="D75" s="10"/>
      <c r="E75" s="182"/>
      <c r="F75" s="199"/>
      <c r="G75" s="111"/>
      <c r="H75" s="111"/>
      <c r="I75" s="111"/>
      <c r="J75" s="111"/>
      <c r="K75" s="111"/>
      <c r="L75" s="200"/>
      <c r="M75" s="200"/>
      <c r="N75" s="129"/>
      <c r="O75" s="129"/>
    </row>
    <row r="76" spans="1:15" ht="23.5" customHeight="1" x14ac:dyDescent="0.45">
      <c r="A76" s="10"/>
      <c r="B76" s="201" t="s">
        <v>874</v>
      </c>
      <c r="C76" s="10"/>
      <c r="D76" s="10"/>
      <c r="E76" s="182"/>
      <c r="F76" s="199"/>
      <c r="G76" s="111"/>
      <c r="H76" s="111"/>
      <c r="I76" s="111"/>
      <c r="J76" s="111"/>
      <c r="K76" s="111"/>
      <c r="L76" s="200"/>
      <c r="M76" s="200"/>
      <c r="N76" s="129"/>
      <c r="O76" s="129"/>
    </row>
    <row r="77" spans="1:15" ht="19" x14ac:dyDescent="0.45">
      <c r="A77" s="10"/>
      <c r="B77" s="201"/>
      <c r="C77" s="10"/>
      <c r="D77" s="10"/>
      <c r="E77" s="182"/>
      <c r="F77" s="199"/>
      <c r="G77" s="111"/>
      <c r="H77" s="111"/>
      <c r="I77" s="111"/>
      <c r="J77" s="111"/>
      <c r="K77" s="111"/>
      <c r="L77" s="200"/>
      <c r="M77" s="200"/>
      <c r="N77" s="129"/>
      <c r="O77" s="129"/>
    </row>
    <row r="78" spans="1:15" ht="42" customHeight="1" x14ac:dyDescent="0.45">
      <c r="A78" s="105" t="s">
        <v>40</v>
      </c>
      <c r="B78" s="865" t="s">
        <v>262</v>
      </c>
      <c r="C78" s="865"/>
      <c r="D78" s="865"/>
      <c r="E78" s="865"/>
      <c r="F78" s="865"/>
      <c r="G78" s="865"/>
      <c r="H78" s="865"/>
      <c r="I78" s="202"/>
      <c r="J78" s="111"/>
      <c r="K78" s="111"/>
      <c r="L78" s="200"/>
      <c r="M78" s="200"/>
      <c r="N78" s="129"/>
      <c r="O78" s="129"/>
    </row>
    <row r="79" spans="1:15" ht="48.75" customHeight="1" x14ac:dyDescent="0.45">
      <c r="A79" s="203"/>
      <c r="B79" s="841" t="s">
        <v>263</v>
      </c>
      <c r="C79" s="841"/>
      <c r="D79" s="192" t="s">
        <v>264</v>
      </c>
      <c r="E79" s="192" t="s">
        <v>481</v>
      </c>
      <c r="F79" s="191" t="s">
        <v>816</v>
      </c>
      <c r="G79" s="191" t="s">
        <v>465</v>
      </c>
      <c r="H79" s="181"/>
      <c r="I79" s="181"/>
      <c r="J79" s="202"/>
      <c r="K79" s="202"/>
      <c r="L79" s="204"/>
      <c r="M79" s="204"/>
      <c r="N79" s="182"/>
      <c r="O79" s="182"/>
    </row>
    <row r="80" spans="1:15" ht="19" x14ac:dyDescent="0.45">
      <c r="A80" s="203"/>
      <c r="B80" s="205"/>
      <c r="C80" s="206"/>
      <c r="D80" s="207"/>
      <c r="E80" s="207"/>
      <c r="F80" s="208"/>
      <c r="G80" s="208"/>
      <c r="H80" s="181"/>
      <c r="I80" s="181"/>
      <c r="K80" s="168"/>
      <c r="M80" s="95"/>
    </row>
    <row r="81" spans="1:13" ht="19" x14ac:dyDescent="0.45">
      <c r="A81" s="203"/>
      <c r="B81" s="209"/>
      <c r="C81" s="210"/>
      <c r="D81" s="211" t="s">
        <v>95</v>
      </c>
      <c r="E81" s="211" t="s">
        <v>134</v>
      </c>
      <c r="F81" s="212"/>
      <c r="G81" s="212"/>
      <c r="H81" s="181"/>
      <c r="I81" s="181"/>
      <c r="K81" s="168"/>
      <c r="M81" s="95"/>
    </row>
    <row r="82" spans="1:13" ht="19" x14ac:dyDescent="0.45">
      <c r="A82" s="203"/>
      <c r="B82" s="209"/>
      <c r="C82" s="210"/>
      <c r="D82" s="213" t="s">
        <v>95</v>
      </c>
      <c r="E82" s="211" t="s">
        <v>134</v>
      </c>
      <c r="F82" s="212"/>
      <c r="G82" s="212"/>
      <c r="H82" s="181"/>
      <c r="I82" s="181"/>
      <c r="K82" s="168"/>
      <c r="M82" s="95"/>
    </row>
    <row r="83" spans="1:13" ht="19" x14ac:dyDescent="0.45">
      <c r="A83" s="203"/>
      <c r="B83" s="209"/>
      <c r="C83" s="210"/>
      <c r="D83" s="213"/>
      <c r="E83" s="213"/>
      <c r="F83" s="212"/>
      <c r="G83" s="212"/>
      <c r="H83" s="181"/>
      <c r="I83" s="181"/>
      <c r="K83" s="168"/>
      <c r="M83" s="95"/>
    </row>
    <row r="84" spans="1:13" ht="19" hidden="1" x14ac:dyDescent="0.45">
      <c r="A84" s="203"/>
      <c r="B84" s="214"/>
      <c r="C84" s="210"/>
      <c r="D84" s="213"/>
      <c r="E84" s="213"/>
      <c r="F84" s="212"/>
      <c r="G84" s="212"/>
      <c r="H84" s="181"/>
      <c r="I84" s="181"/>
      <c r="K84" s="168"/>
      <c r="M84" s="95"/>
    </row>
    <row r="85" spans="1:13" ht="19" hidden="1" x14ac:dyDescent="0.45">
      <c r="A85" s="203"/>
      <c r="B85" s="209"/>
      <c r="C85" s="210"/>
      <c r="D85" s="213" t="s">
        <v>450</v>
      </c>
      <c r="E85" s="213" t="s">
        <v>449</v>
      </c>
      <c r="F85" s="212"/>
      <c r="G85" s="212"/>
      <c r="H85" s="181"/>
      <c r="I85" s="181"/>
      <c r="K85" s="168"/>
      <c r="M85" s="95"/>
    </row>
    <row r="86" spans="1:13" ht="19" hidden="1" x14ac:dyDescent="0.45">
      <c r="A86" s="203"/>
      <c r="B86" s="209"/>
      <c r="C86" s="210"/>
      <c r="D86" s="213" t="s">
        <v>450</v>
      </c>
      <c r="E86" s="213" t="s">
        <v>449</v>
      </c>
      <c r="F86" s="212"/>
      <c r="G86" s="212"/>
      <c r="H86" s="181"/>
      <c r="I86" s="181"/>
      <c r="K86" s="168"/>
      <c r="M86" s="95"/>
    </row>
    <row r="87" spans="1:13" ht="19" hidden="1" x14ac:dyDescent="0.45">
      <c r="A87" s="203"/>
      <c r="B87" s="214"/>
      <c r="C87" s="210"/>
      <c r="D87" s="215"/>
      <c r="E87" s="215"/>
      <c r="F87" s="216"/>
      <c r="G87" s="216"/>
      <c r="H87" s="181"/>
      <c r="I87" s="181"/>
      <c r="K87" s="168"/>
      <c r="M87" s="95"/>
    </row>
    <row r="88" spans="1:13" ht="19" x14ac:dyDescent="0.45">
      <c r="A88" s="203"/>
      <c r="B88" s="217"/>
      <c r="C88" s="210"/>
      <c r="D88" s="211" t="s">
        <v>95</v>
      </c>
      <c r="E88" s="211" t="s">
        <v>310</v>
      </c>
      <c r="F88" s="218"/>
      <c r="G88" s="218"/>
      <c r="H88" s="181"/>
      <c r="I88" s="181"/>
      <c r="K88" s="168"/>
      <c r="M88" s="95"/>
    </row>
    <row r="89" spans="1:13" ht="19" x14ac:dyDescent="0.45">
      <c r="A89" s="203"/>
      <c r="B89" s="217"/>
      <c r="C89" s="210"/>
      <c r="D89" s="211" t="s">
        <v>95</v>
      </c>
      <c r="E89" s="211" t="s">
        <v>311</v>
      </c>
      <c r="F89" s="218"/>
      <c r="G89" s="218"/>
      <c r="H89" s="181"/>
      <c r="I89" s="181"/>
      <c r="K89" s="168"/>
      <c r="M89" s="95"/>
    </row>
    <row r="90" spans="1:13" ht="19" x14ac:dyDescent="0.45">
      <c r="A90" s="203"/>
      <c r="B90" s="217"/>
      <c r="C90" s="210"/>
      <c r="D90" s="211" t="s">
        <v>95</v>
      </c>
      <c r="E90" s="211" t="s">
        <v>482</v>
      </c>
      <c r="F90" s="218"/>
      <c r="G90" s="218"/>
      <c r="H90" s="181"/>
      <c r="I90" s="181"/>
      <c r="K90" s="168"/>
      <c r="M90" s="95"/>
    </row>
    <row r="91" spans="1:13" ht="19" x14ac:dyDescent="0.45">
      <c r="A91" s="203"/>
      <c r="B91" s="217"/>
      <c r="C91" s="210"/>
      <c r="D91" s="211"/>
      <c r="E91" s="211"/>
      <c r="F91" s="218"/>
      <c r="G91" s="218"/>
      <c r="H91" s="181"/>
      <c r="I91" s="181"/>
      <c r="K91" s="168"/>
      <c r="M91" s="95"/>
    </row>
    <row r="92" spans="1:13" ht="19" x14ac:dyDescent="0.45">
      <c r="A92" s="203"/>
      <c r="B92" s="217"/>
      <c r="C92" s="210"/>
      <c r="D92" s="211" t="s">
        <v>95</v>
      </c>
      <c r="E92" s="211" t="s">
        <v>310</v>
      </c>
      <c r="F92" s="218"/>
      <c r="G92" s="218"/>
      <c r="H92" s="181"/>
      <c r="I92" s="181"/>
      <c r="K92" s="168"/>
      <c r="M92" s="95"/>
    </row>
    <row r="93" spans="1:13" ht="19" x14ac:dyDescent="0.45">
      <c r="A93" s="203"/>
      <c r="B93" s="217"/>
      <c r="C93" s="210"/>
      <c r="D93" s="211" t="s">
        <v>95</v>
      </c>
      <c r="E93" s="211" t="s">
        <v>311</v>
      </c>
      <c r="F93" s="218"/>
      <c r="G93" s="218"/>
      <c r="H93" s="181"/>
      <c r="I93" s="181"/>
      <c r="K93" s="168"/>
      <c r="M93" s="95"/>
    </row>
    <row r="94" spans="1:13" ht="19" x14ac:dyDescent="0.45">
      <c r="A94" s="203"/>
      <c r="B94" s="217"/>
      <c r="C94" s="210"/>
      <c r="D94" s="211" t="s">
        <v>95</v>
      </c>
      <c r="E94" s="211" t="s">
        <v>482</v>
      </c>
      <c r="F94" s="218"/>
      <c r="G94" s="212"/>
      <c r="H94" s="181"/>
      <c r="I94" s="181"/>
      <c r="K94" s="168"/>
      <c r="M94" s="95"/>
    </row>
    <row r="95" spans="1:13" ht="19" x14ac:dyDescent="0.45">
      <c r="A95" s="203"/>
      <c r="B95" s="217"/>
      <c r="C95" s="210"/>
      <c r="D95" s="211"/>
      <c r="E95" s="211"/>
      <c r="F95" s="218"/>
      <c r="G95" s="218"/>
      <c r="H95" s="181"/>
      <c r="I95" s="181"/>
      <c r="K95" s="168"/>
      <c r="M95" s="95"/>
    </row>
    <row r="96" spans="1:13" ht="19" x14ac:dyDescent="0.45">
      <c r="A96" s="10"/>
      <c r="B96" s="91"/>
      <c r="C96" s="219"/>
      <c r="D96" s="213" t="s">
        <v>309</v>
      </c>
      <c r="E96" s="220" t="s">
        <v>480</v>
      </c>
      <c r="F96" s="218"/>
      <c r="G96" s="212"/>
      <c r="H96" s="129"/>
      <c r="I96" s="129"/>
      <c r="K96" s="168"/>
      <c r="M96" s="95"/>
    </row>
    <row r="97" spans="1:15" ht="19" x14ac:dyDescent="0.45">
      <c r="A97" s="10"/>
      <c r="B97" s="91"/>
      <c r="C97" s="219"/>
      <c r="D97" s="213" t="s">
        <v>309</v>
      </c>
      <c r="E97" s="220" t="s">
        <v>311</v>
      </c>
      <c r="F97" s="218"/>
      <c r="G97" s="212"/>
      <c r="H97" s="129"/>
      <c r="I97" s="129"/>
      <c r="K97" s="168"/>
      <c r="M97" s="95"/>
    </row>
    <row r="98" spans="1:15" ht="19" x14ac:dyDescent="0.45">
      <c r="A98" s="10"/>
      <c r="B98" s="91"/>
      <c r="C98" s="219"/>
      <c r="D98" s="213" t="s">
        <v>309</v>
      </c>
      <c r="E98" s="220" t="s">
        <v>483</v>
      </c>
      <c r="F98" s="218"/>
      <c r="G98" s="221"/>
      <c r="H98" s="129"/>
      <c r="I98" s="129"/>
      <c r="K98" s="168"/>
      <c r="M98" s="95"/>
    </row>
    <row r="99" spans="1:15" ht="19" x14ac:dyDescent="0.45">
      <c r="A99" s="10"/>
      <c r="B99" s="91"/>
      <c r="C99" s="219"/>
      <c r="D99" s="213"/>
      <c r="E99" s="213"/>
      <c r="F99" s="218"/>
      <c r="G99" s="212"/>
      <c r="H99" s="129"/>
      <c r="I99" s="129"/>
      <c r="K99" s="168"/>
      <c r="M99" s="95"/>
    </row>
    <row r="100" spans="1:15" ht="19.899999999999999" customHeight="1" x14ac:dyDescent="0.45">
      <c r="A100" s="10"/>
      <c r="B100" s="217"/>
      <c r="C100" s="219"/>
      <c r="D100" s="213" t="s">
        <v>450</v>
      </c>
      <c r="E100" s="222" t="s">
        <v>690</v>
      </c>
      <c r="F100" s="221"/>
      <c r="G100" s="212"/>
      <c r="H100" s="129"/>
      <c r="I100" s="129"/>
      <c r="K100" s="168"/>
      <c r="M100" s="95"/>
    </row>
    <row r="101" spans="1:15" ht="19" x14ac:dyDescent="0.45">
      <c r="A101" s="10"/>
      <c r="B101" s="217"/>
      <c r="C101" s="219"/>
      <c r="D101" s="213" t="s">
        <v>450</v>
      </c>
      <c r="E101" s="213" t="s">
        <v>484</v>
      </c>
      <c r="F101" s="218"/>
      <c r="G101" s="212"/>
      <c r="H101" s="129"/>
      <c r="I101" s="129"/>
      <c r="J101" s="95">
        <v>40447079</v>
      </c>
      <c r="K101" s="168">
        <v>20547010</v>
      </c>
      <c r="M101" s="95"/>
      <c r="O101" s="95">
        <f>+F101-J101-K101</f>
        <v>-60994089</v>
      </c>
    </row>
    <row r="102" spans="1:15" ht="19" x14ac:dyDescent="0.45">
      <c r="A102" s="10"/>
      <c r="B102" s="217"/>
      <c r="C102" s="219"/>
      <c r="D102" s="213" t="s">
        <v>450</v>
      </c>
      <c r="E102" s="213" t="s">
        <v>485</v>
      </c>
      <c r="F102" s="218"/>
      <c r="G102" s="212"/>
      <c r="H102" s="129"/>
      <c r="I102" s="129"/>
      <c r="K102" s="168"/>
      <c r="M102" s="95"/>
    </row>
    <row r="103" spans="1:15" ht="19" x14ac:dyDescent="0.45">
      <c r="A103" s="10"/>
      <c r="B103" s="217"/>
      <c r="C103" s="219"/>
      <c r="D103" s="213" t="s">
        <v>450</v>
      </c>
      <c r="E103" s="213" t="s">
        <v>486</v>
      </c>
      <c r="F103" s="218"/>
      <c r="G103" s="212"/>
      <c r="H103" s="129"/>
      <c r="I103" s="129"/>
      <c r="K103" s="168"/>
      <c r="M103" s="95"/>
    </row>
    <row r="104" spans="1:15" ht="19" x14ac:dyDescent="0.45">
      <c r="A104" s="10"/>
      <c r="B104" s="217"/>
      <c r="C104" s="219"/>
      <c r="D104" s="213" t="s">
        <v>450</v>
      </c>
      <c r="E104" s="222" t="s">
        <v>487</v>
      </c>
      <c r="F104" s="221"/>
      <c r="G104" s="221"/>
      <c r="H104" s="129"/>
      <c r="I104" s="129"/>
      <c r="K104" s="168"/>
      <c r="M104" s="95"/>
    </row>
    <row r="105" spans="1:15" ht="48.75" customHeight="1" x14ac:dyDescent="0.45">
      <c r="A105" s="10"/>
      <c r="B105" s="217"/>
      <c r="C105" s="219"/>
      <c r="D105" s="213" t="s">
        <v>450</v>
      </c>
      <c r="E105" s="222" t="s">
        <v>690</v>
      </c>
      <c r="F105" s="221"/>
      <c r="G105" s="221"/>
      <c r="H105" s="129"/>
      <c r="I105" s="129"/>
      <c r="K105" s="168"/>
      <c r="M105" s="95"/>
    </row>
    <row r="106" spans="1:15" ht="19" x14ac:dyDescent="0.45">
      <c r="A106" s="10"/>
      <c r="B106" s="223"/>
      <c r="C106" s="224"/>
      <c r="D106" s="225"/>
      <c r="E106" s="225"/>
      <c r="F106" s="226"/>
      <c r="G106" s="226"/>
      <c r="H106" s="129"/>
      <c r="I106" s="129"/>
      <c r="K106" s="168"/>
      <c r="M106" s="95"/>
    </row>
    <row r="107" spans="1:15" x14ac:dyDescent="0.3">
      <c r="K107" s="168"/>
      <c r="M107" s="95"/>
    </row>
    <row r="108" spans="1:15" s="182" customFormat="1" ht="28.4" customHeight="1" x14ac:dyDescent="0.45">
      <c r="A108" s="171" t="s">
        <v>556</v>
      </c>
      <c r="B108" s="227" t="s">
        <v>510</v>
      </c>
      <c r="C108" s="228"/>
      <c r="D108" s="228"/>
      <c r="E108" s="229"/>
      <c r="F108" s="229"/>
      <c r="G108" s="229"/>
      <c r="H108" s="230"/>
    </row>
    <row r="109" spans="1:15" s="182" customFormat="1" ht="58.9" customHeight="1" x14ac:dyDescent="0.45">
      <c r="A109" s="231"/>
      <c r="B109" s="862" t="s">
        <v>875</v>
      </c>
      <c r="C109" s="862"/>
      <c r="D109" s="862"/>
      <c r="E109" s="862"/>
      <c r="F109" s="862"/>
      <c r="G109" s="862"/>
      <c r="H109" s="862"/>
      <c r="I109" s="862"/>
    </row>
    <row r="110" spans="1:15" s="182" customFormat="1" ht="13.4" customHeight="1" x14ac:dyDescent="0.45"/>
    <row r="111" spans="1:15" s="182" customFormat="1" ht="24.65" customHeight="1" x14ac:dyDescent="0.45">
      <c r="A111" s="171" t="s">
        <v>557</v>
      </c>
      <c r="B111" s="227" t="s">
        <v>511</v>
      </c>
      <c r="C111" s="227"/>
      <c r="D111" s="227"/>
      <c r="E111" s="227"/>
      <c r="F111" s="227"/>
      <c r="G111" s="227"/>
      <c r="H111" s="227"/>
      <c r="I111" s="227"/>
      <c r="J111" s="227"/>
      <c r="K111" s="227"/>
    </row>
    <row r="112" spans="1:15" s="182" customFormat="1" ht="48.65" customHeight="1" x14ac:dyDescent="0.45">
      <c r="A112" s="128"/>
      <c r="B112" s="862" t="s">
        <v>821</v>
      </c>
      <c r="C112" s="862"/>
      <c r="D112" s="862"/>
      <c r="E112" s="862"/>
      <c r="F112" s="862"/>
      <c r="G112" s="862"/>
      <c r="H112" s="862"/>
      <c r="I112" s="232"/>
      <c r="J112" s="232"/>
      <c r="K112" s="232"/>
    </row>
    <row r="113" spans="1:11" s="182" customFormat="1" ht="36" customHeight="1" x14ac:dyDescent="0.45">
      <c r="A113" s="128"/>
      <c r="B113" s="233"/>
      <c r="C113" s="233"/>
      <c r="D113" s="233"/>
      <c r="E113" s="233"/>
      <c r="F113" s="233"/>
      <c r="G113" s="880" t="str">
        <f>G131</f>
        <v>For the year ended March 31, 2025</v>
      </c>
      <c r="H113" s="880" t="str">
        <f>H131</f>
        <v>For the year ended March 31, 2024</v>
      </c>
      <c r="I113" s="233"/>
      <c r="J113" s="234"/>
      <c r="K113" s="234"/>
    </row>
    <row r="114" spans="1:11" s="182" customFormat="1" ht="36" customHeight="1" x14ac:dyDescent="0.45">
      <c r="A114" s="128"/>
      <c r="B114" s="233"/>
      <c r="C114" s="233"/>
      <c r="D114" s="233"/>
      <c r="E114" s="233"/>
      <c r="F114" s="233"/>
      <c r="G114" s="881"/>
      <c r="H114" s="881"/>
      <c r="I114" s="233"/>
      <c r="J114" s="234"/>
      <c r="K114" s="234"/>
    </row>
    <row r="115" spans="1:11" s="182" customFormat="1" ht="19" x14ac:dyDescent="0.45">
      <c r="A115" s="128"/>
      <c r="B115" s="181" t="s">
        <v>512</v>
      </c>
      <c r="C115" s="233"/>
      <c r="D115" s="233"/>
      <c r="E115" s="233"/>
      <c r="I115" s="233"/>
      <c r="J115" s="234"/>
      <c r="K115" s="234"/>
    </row>
    <row r="116" spans="1:11" s="182" customFormat="1" ht="19" x14ac:dyDescent="0.45">
      <c r="A116" s="128"/>
      <c r="B116" s="182" t="s">
        <v>513</v>
      </c>
      <c r="C116" s="233"/>
      <c r="D116" s="233"/>
      <c r="E116" s="233"/>
      <c r="G116" s="184">
        <v>1011000</v>
      </c>
      <c r="H116" s="182">
        <v>0</v>
      </c>
      <c r="I116" s="233"/>
      <c r="J116" s="234"/>
      <c r="K116" s="234"/>
    </row>
    <row r="117" spans="1:11" s="182" customFormat="1" ht="19" x14ac:dyDescent="0.45">
      <c r="A117" s="128"/>
      <c r="B117" s="182" t="s">
        <v>514</v>
      </c>
      <c r="C117" s="233"/>
      <c r="D117" s="233"/>
      <c r="E117" s="233"/>
      <c r="G117" s="184">
        <v>1050000</v>
      </c>
      <c r="H117" s="182">
        <v>0</v>
      </c>
      <c r="I117" s="233"/>
      <c r="J117" s="234"/>
      <c r="K117" s="234"/>
    </row>
    <row r="118" spans="1:11" s="182" customFormat="1" ht="19" x14ac:dyDescent="0.45">
      <c r="A118" s="128"/>
      <c r="C118" s="233"/>
      <c r="D118" s="233"/>
      <c r="E118" s="233"/>
      <c r="I118" s="233"/>
      <c r="J118" s="234"/>
      <c r="K118" s="234"/>
    </row>
    <row r="119" spans="1:11" s="182" customFormat="1" ht="19" x14ac:dyDescent="0.45">
      <c r="A119" s="128"/>
      <c r="B119" s="182" t="s">
        <v>515</v>
      </c>
      <c r="C119" s="233"/>
      <c r="D119" s="233"/>
      <c r="E119" s="233"/>
      <c r="I119" s="233"/>
      <c r="J119" s="234"/>
      <c r="K119" s="234"/>
    </row>
    <row r="120" spans="1:11" s="182" customFormat="1" ht="19" x14ac:dyDescent="0.45">
      <c r="A120" s="128"/>
      <c r="B120" s="182" t="s">
        <v>516</v>
      </c>
      <c r="C120" s="233"/>
      <c r="D120" s="233"/>
      <c r="E120" s="233"/>
      <c r="G120" s="182">
        <v>0</v>
      </c>
      <c r="H120" s="182">
        <v>0</v>
      </c>
      <c r="I120" s="233"/>
      <c r="J120" s="234"/>
      <c r="K120" s="234"/>
    </row>
    <row r="121" spans="1:11" s="182" customFormat="1" ht="19" x14ac:dyDescent="0.45">
      <c r="A121" s="128"/>
      <c r="B121" s="182" t="s">
        <v>517</v>
      </c>
      <c r="C121" s="233"/>
      <c r="D121" s="233"/>
      <c r="E121" s="233"/>
      <c r="G121" s="182">
        <v>0</v>
      </c>
      <c r="H121" s="182">
        <v>0</v>
      </c>
      <c r="I121" s="233"/>
      <c r="J121" s="234"/>
      <c r="K121" s="234"/>
    </row>
    <row r="122" spans="1:11" s="182" customFormat="1" ht="19" x14ac:dyDescent="0.45">
      <c r="A122" s="128"/>
      <c r="C122" s="233"/>
      <c r="D122" s="233"/>
      <c r="E122" s="233"/>
      <c r="I122" s="233"/>
      <c r="J122" s="234"/>
      <c r="K122" s="234"/>
    </row>
    <row r="123" spans="1:11" s="182" customFormat="1" ht="19" x14ac:dyDescent="0.45">
      <c r="A123" s="128"/>
      <c r="B123" s="182" t="s">
        <v>518</v>
      </c>
      <c r="C123" s="233"/>
      <c r="D123" s="233"/>
      <c r="E123" s="233"/>
      <c r="I123" s="233"/>
      <c r="J123" s="234"/>
      <c r="K123" s="234"/>
    </row>
    <row r="124" spans="1:11" s="182" customFormat="1" ht="19" x14ac:dyDescent="0.45">
      <c r="A124" s="128"/>
      <c r="B124" s="182" t="s">
        <v>519</v>
      </c>
      <c r="C124" s="233"/>
      <c r="D124" s="233"/>
      <c r="E124" s="233"/>
      <c r="G124" s="182">
        <v>0</v>
      </c>
      <c r="H124" s="182">
        <v>0</v>
      </c>
      <c r="I124" s="233"/>
      <c r="J124" s="234"/>
      <c r="K124" s="234"/>
    </row>
    <row r="125" spans="1:11" s="182" customFormat="1" ht="19" x14ac:dyDescent="0.45">
      <c r="A125" s="128"/>
      <c r="B125" s="182" t="s">
        <v>517</v>
      </c>
      <c r="C125" s="233"/>
      <c r="D125" s="233"/>
      <c r="E125" s="233"/>
      <c r="G125" s="182">
        <v>0</v>
      </c>
      <c r="H125" s="182">
        <v>0</v>
      </c>
      <c r="I125" s="233"/>
      <c r="J125" s="234"/>
      <c r="K125" s="234"/>
    </row>
    <row r="126" spans="1:11" s="182" customFormat="1" ht="18" customHeight="1" x14ac:dyDescent="0.45">
      <c r="A126" s="128"/>
      <c r="B126" s="233"/>
      <c r="C126" s="233"/>
      <c r="D126" s="233"/>
      <c r="E126" s="233"/>
      <c r="F126" s="233"/>
      <c r="G126" s="233"/>
      <c r="H126" s="233"/>
      <c r="I126" s="233"/>
      <c r="J126" s="233"/>
      <c r="K126" s="233"/>
    </row>
    <row r="127" spans="1:11" s="182" customFormat="1" ht="18" customHeight="1" x14ac:dyDescent="0.45">
      <c r="A127" s="128"/>
      <c r="B127" s="129"/>
      <c r="C127" s="129"/>
      <c r="D127" s="129"/>
      <c r="E127" s="129"/>
      <c r="F127" s="235"/>
      <c r="G127" s="235"/>
      <c r="H127" s="235"/>
      <c r="I127" s="235"/>
    </row>
    <row r="128" spans="1:11" s="182" customFormat="1" ht="18" customHeight="1" x14ac:dyDescent="0.45">
      <c r="A128" s="128"/>
      <c r="B128" s="129"/>
      <c r="C128" s="129"/>
      <c r="D128" s="129"/>
      <c r="E128" s="129"/>
      <c r="F128" s="235"/>
      <c r="G128" s="235"/>
      <c r="H128" s="235"/>
      <c r="I128" s="235"/>
    </row>
    <row r="129" spans="1:11" s="182" customFormat="1" ht="43.15" customHeight="1" x14ac:dyDescent="0.45">
      <c r="A129" s="140" t="s">
        <v>559</v>
      </c>
      <c r="B129" s="869" t="s">
        <v>523</v>
      </c>
      <c r="C129" s="869"/>
      <c r="D129" s="869"/>
      <c r="E129" s="869"/>
      <c r="F129" s="869"/>
      <c r="G129" s="869"/>
      <c r="H129" s="869"/>
      <c r="I129" s="869"/>
      <c r="J129" s="236"/>
    </row>
    <row r="130" spans="1:11" s="182" customFormat="1" ht="19" x14ac:dyDescent="0.45">
      <c r="A130" s="140"/>
      <c r="B130" s="237"/>
      <c r="C130" s="237"/>
      <c r="D130" s="237"/>
      <c r="E130" s="237"/>
      <c r="F130" s="237"/>
      <c r="G130" s="237"/>
      <c r="H130" s="237"/>
      <c r="I130" s="237"/>
      <c r="J130" s="236"/>
    </row>
    <row r="131" spans="1:11" s="182" customFormat="1" ht="54.65" customHeight="1" x14ac:dyDescent="0.45">
      <c r="A131" s="171" t="s">
        <v>723</v>
      </c>
      <c r="B131" s="188" t="s">
        <v>735</v>
      </c>
      <c r="C131" s="237"/>
      <c r="D131" s="237"/>
      <c r="E131" s="237"/>
      <c r="F131" s="237"/>
      <c r="G131" s="238" t="str">
        <f>+G135</f>
        <v>For the year ended March 31, 2025</v>
      </c>
      <c r="H131" s="238" t="str">
        <f t="shared" ref="H131" si="1">+H135</f>
        <v>For the year ended March 31, 2024</v>
      </c>
      <c r="I131" s="237"/>
      <c r="J131" s="236"/>
    </row>
    <row r="132" spans="1:11" s="182" customFormat="1" ht="19" x14ac:dyDescent="0.45">
      <c r="A132" s="140"/>
      <c r="B132" s="189" t="s">
        <v>736</v>
      </c>
      <c r="C132" s="189"/>
      <c r="D132" s="129"/>
      <c r="E132" s="129"/>
      <c r="F132" s="129"/>
      <c r="G132" s="239">
        <v>1154763.1100000001</v>
      </c>
      <c r="H132" s="239">
        <v>1276555.5</v>
      </c>
      <c r="I132" s="240"/>
      <c r="J132" s="236"/>
    </row>
    <row r="133" spans="1:11" s="182" customFormat="1" ht="19" x14ac:dyDescent="0.45">
      <c r="A133" s="140"/>
      <c r="B133" s="189" t="s">
        <v>737</v>
      </c>
      <c r="C133" s="189"/>
      <c r="D133" s="129"/>
      <c r="E133" s="129"/>
      <c r="F133" s="129"/>
      <c r="G133" s="241">
        <v>0</v>
      </c>
      <c r="H133" s="241">
        <v>823658</v>
      </c>
      <c r="I133" s="237"/>
      <c r="J133" s="236"/>
    </row>
    <row r="134" spans="1:11" s="182" customFormat="1" ht="18" customHeight="1" x14ac:dyDescent="0.45">
      <c r="A134" s="171"/>
      <c r="B134" s="227"/>
      <c r="C134" s="228"/>
      <c r="D134" s="228"/>
      <c r="E134" s="229"/>
      <c r="F134" s="229"/>
      <c r="G134" s="229"/>
      <c r="H134" s="229"/>
      <c r="I134" s="233"/>
      <c r="J134" s="233"/>
    </row>
    <row r="135" spans="1:11" s="182" customFormat="1" ht="67.150000000000006" customHeight="1" x14ac:dyDescent="0.45">
      <c r="A135" s="171" t="s">
        <v>724</v>
      </c>
      <c r="B135" s="188" t="s">
        <v>524</v>
      </c>
      <c r="C135" s="189"/>
      <c r="D135" s="129"/>
      <c r="E135" s="129"/>
      <c r="F135" s="129"/>
      <c r="G135" s="238" t="str">
        <f>+F33</f>
        <v>For the year ended March 31, 2025</v>
      </c>
      <c r="H135" s="238" t="str">
        <f>+G33</f>
        <v>For the year ended March 31, 2024</v>
      </c>
      <c r="I135" s="242"/>
      <c r="J135" s="242"/>
    </row>
    <row r="136" spans="1:11" s="182" customFormat="1" ht="18" customHeight="1" x14ac:dyDescent="0.45">
      <c r="A136" s="171"/>
      <c r="B136" s="189" t="s">
        <v>525</v>
      </c>
      <c r="C136" s="189"/>
      <c r="D136" s="129"/>
      <c r="E136" s="129"/>
      <c r="F136" s="129"/>
      <c r="G136" s="243">
        <f>+'Note 20-31'!C8</f>
        <v>8355400</v>
      </c>
      <c r="H136" s="243">
        <f>+'Note 20-31'!D8</f>
        <v>11905200</v>
      </c>
      <c r="I136" s="242"/>
      <c r="J136" s="242"/>
    </row>
    <row r="137" spans="1:11" s="182" customFormat="1" ht="18" customHeight="1" x14ac:dyDescent="0.45">
      <c r="A137" s="171"/>
      <c r="B137" s="233"/>
      <c r="C137" s="233"/>
      <c r="D137" s="233"/>
      <c r="E137" s="233"/>
      <c r="F137" s="233"/>
      <c r="G137" s="233"/>
      <c r="H137" s="233"/>
      <c r="I137" s="233"/>
      <c r="J137" s="233"/>
    </row>
    <row r="138" spans="1:11" s="182" customFormat="1" ht="18" customHeight="1" x14ac:dyDescent="0.45">
      <c r="A138" s="171" t="s">
        <v>691</v>
      </c>
      <c r="B138" s="887" t="s">
        <v>526</v>
      </c>
      <c r="C138" s="887"/>
      <c r="D138" s="887"/>
      <c r="E138" s="887"/>
      <c r="F138" s="887"/>
      <c r="G138" s="887"/>
      <c r="H138" s="887"/>
      <c r="I138" s="887"/>
      <c r="J138" s="887"/>
    </row>
    <row r="139" spans="1:11" s="182" customFormat="1" ht="18" customHeight="1" x14ac:dyDescent="0.45">
      <c r="A139" s="105"/>
      <c r="B139" s="105"/>
      <c r="C139" s="105"/>
      <c r="D139" s="105"/>
      <c r="E139" s="105"/>
      <c r="F139" s="105"/>
      <c r="G139" s="105"/>
      <c r="H139" s="105"/>
      <c r="I139" s="105"/>
    </row>
    <row r="140" spans="1:11" s="182" customFormat="1" ht="18" customHeight="1" x14ac:dyDescent="0.45">
      <c r="A140" s="171" t="s">
        <v>725</v>
      </c>
      <c r="B140" s="244" t="s">
        <v>527</v>
      </c>
      <c r="C140" s="105"/>
      <c r="D140" s="105"/>
      <c r="E140" s="105"/>
      <c r="F140" s="105"/>
      <c r="G140" s="105"/>
      <c r="H140" s="105"/>
      <c r="I140" s="105"/>
    </row>
    <row r="141" spans="1:11" s="182" customFormat="1" ht="19.75" customHeight="1" x14ac:dyDescent="0.45">
      <c r="A141" s="231"/>
      <c r="B141" s="866" t="s">
        <v>528</v>
      </c>
      <c r="C141" s="866"/>
      <c r="D141" s="866"/>
      <c r="E141" s="866"/>
      <c r="F141" s="866"/>
      <c r="G141" s="866"/>
      <c r="H141" s="866"/>
      <c r="I141" s="866"/>
      <c r="J141" s="866"/>
    </row>
    <row r="142" spans="1:11" s="182" customFormat="1" ht="18" customHeight="1" x14ac:dyDescent="0.45">
      <c r="A142" s="105"/>
      <c r="B142" s="105"/>
      <c r="C142" s="105"/>
      <c r="D142" s="105"/>
      <c r="E142" s="105"/>
      <c r="F142" s="105"/>
      <c r="G142" s="105"/>
      <c r="I142" s="245">
        <f>+I51</f>
        <v>0</v>
      </c>
    </row>
    <row r="143" spans="1:11" s="182" customFormat="1" ht="18" customHeight="1" x14ac:dyDescent="0.45">
      <c r="A143" s="105"/>
      <c r="B143" s="105"/>
      <c r="C143" s="105"/>
      <c r="D143" s="105"/>
      <c r="E143" s="105"/>
      <c r="F143" s="105"/>
      <c r="G143" s="105"/>
      <c r="H143" s="105"/>
      <c r="I143" s="105"/>
    </row>
    <row r="144" spans="1:11" s="182" customFormat="1" ht="18" customHeight="1" x14ac:dyDescent="0.45">
      <c r="A144" s="171" t="s">
        <v>726</v>
      </c>
      <c r="B144" s="867" t="s">
        <v>529</v>
      </c>
      <c r="C144" s="867"/>
      <c r="D144" s="867"/>
      <c r="E144" s="867"/>
      <c r="F144" s="867"/>
      <c r="G144" s="867"/>
      <c r="H144" s="867"/>
      <c r="I144" s="867"/>
      <c r="J144" s="867"/>
      <c r="K144" s="867"/>
    </row>
    <row r="145" spans="1:10" s="182" customFormat="1" ht="24" customHeight="1" x14ac:dyDescent="0.45">
      <c r="A145" s="10" t="s">
        <v>39</v>
      </c>
      <c r="B145" s="868" t="s">
        <v>530</v>
      </c>
      <c r="C145" s="868"/>
      <c r="D145" s="868"/>
      <c r="E145" s="868"/>
      <c r="F145" s="868"/>
      <c r="G145" s="868"/>
      <c r="H145" s="868"/>
      <c r="I145" s="868"/>
      <c r="J145" s="868"/>
    </row>
    <row r="146" spans="1:10" s="182" customFormat="1" ht="24" customHeight="1" x14ac:dyDescent="0.45">
      <c r="A146" s="10" t="s">
        <v>40</v>
      </c>
      <c r="B146" s="868" t="s">
        <v>531</v>
      </c>
      <c r="C146" s="868"/>
      <c r="D146" s="868"/>
      <c r="E146" s="868"/>
      <c r="F146" s="868"/>
      <c r="G146" s="868"/>
      <c r="H146" s="868"/>
      <c r="I146" s="868"/>
      <c r="J146" s="868"/>
    </row>
    <row r="147" spans="1:10" s="182" customFormat="1" ht="27.65" customHeight="1" x14ac:dyDescent="0.45">
      <c r="A147" s="10" t="s">
        <v>334</v>
      </c>
      <c r="B147" s="868" t="s">
        <v>532</v>
      </c>
      <c r="C147" s="868"/>
      <c r="D147" s="868"/>
      <c r="E147" s="868"/>
      <c r="F147" s="868"/>
      <c r="G147" s="868"/>
      <c r="H147" s="868"/>
      <c r="I147" s="868"/>
      <c r="J147" s="868"/>
    </row>
    <row r="148" spans="1:10" s="182" customFormat="1" ht="27.65" customHeight="1" x14ac:dyDescent="0.45">
      <c r="A148" s="10" t="s">
        <v>335</v>
      </c>
      <c r="B148" s="868" t="s">
        <v>819</v>
      </c>
      <c r="C148" s="868"/>
      <c r="D148" s="868"/>
      <c r="E148" s="868"/>
      <c r="F148" s="868"/>
      <c r="G148" s="868"/>
      <c r="H148" s="868"/>
      <c r="I148" s="868"/>
      <c r="J148" s="868"/>
    </row>
    <row r="149" spans="1:10" s="182" customFormat="1" ht="43.9" customHeight="1" x14ac:dyDescent="0.45">
      <c r="A149" s="10" t="s">
        <v>336</v>
      </c>
      <c r="B149" s="862" t="s">
        <v>533</v>
      </c>
      <c r="C149" s="862"/>
      <c r="D149" s="862"/>
      <c r="E149" s="862"/>
      <c r="F149" s="862"/>
      <c r="G149" s="862"/>
      <c r="H149" s="862"/>
      <c r="I149" s="234"/>
      <c r="J149" s="234"/>
    </row>
    <row r="150" spans="1:10" s="182" customFormat="1" ht="25.15" customHeight="1" x14ac:dyDescent="0.45">
      <c r="A150" s="10"/>
      <c r="B150" s="868" t="s">
        <v>534</v>
      </c>
      <c r="C150" s="868"/>
      <c r="D150" s="868"/>
      <c r="E150" s="868"/>
      <c r="F150" s="868"/>
      <c r="G150" s="868"/>
      <c r="H150" s="868"/>
      <c r="I150" s="868"/>
      <c r="J150" s="868"/>
    </row>
    <row r="151" spans="1:10" s="182" customFormat="1" ht="40.15" customHeight="1" x14ac:dyDescent="0.45">
      <c r="A151" s="10"/>
      <c r="B151" s="868" t="s">
        <v>535</v>
      </c>
      <c r="C151" s="868"/>
      <c r="D151" s="868"/>
      <c r="E151" s="868"/>
      <c r="F151" s="868"/>
      <c r="G151" s="868"/>
      <c r="H151" s="868"/>
      <c r="I151" s="868"/>
      <c r="J151" s="868"/>
    </row>
    <row r="152" spans="1:10" s="182" customFormat="1" ht="45" customHeight="1" x14ac:dyDescent="0.45">
      <c r="A152" s="10" t="s">
        <v>337</v>
      </c>
      <c r="B152" s="862" t="s">
        <v>536</v>
      </c>
      <c r="C152" s="862"/>
      <c r="D152" s="862"/>
      <c r="E152" s="862"/>
      <c r="F152" s="862"/>
      <c r="G152" s="862"/>
      <c r="H152" s="862"/>
      <c r="I152" s="234"/>
      <c r="J152" s="234"/>
    </row>
    <row r="153" spans="1:10" s="182" customFormat="1" ht="33.65" customHeight="1" x14ac:dyDescent="0.45">
      <c r="A153" s="10"/>
      <c r="B153" s="868" t="s">
        <v>537</v>
      </c>
      <c r="C153" s="868"/>
      <c r="D153" s="868"/>
      <c r="E153" s="868"/>
      <c r="F153" s="868"/>
      <c r="G153" s="868"/>
      <c r="H153" s="868"/>
      <c r="I153" s="868"/>
      <c r="J153" s="868"/>
    </row>
    <row r="154" spans="1:10" s="182" customFormat="1" ht="31.15" customHeight="1" x14ac:dyDescent="0.45">
      <c r="A154" s="10"/>
      <c r="B154" s="862" t="s">
        <v>538</v>
      </c>
      <c r="C154" s="862"/>
      <c r="D154" s="862"/>
      <c r="E154" s="862"/>
      <c r="F154" s="862"/>
      <c r="G154" s="862"/>
      <c r="H154" s="862"/>
      <c r="I154" s="862"/>
      <c r="J154" s="862"/>
    </row>
    <row r="155" spans="1:10" s="182" customFormat="1" ht="34.75" customHeight="1" x14ac:dyDescent="0.45">
      <c r="A155" s="10" t="s">
        <v>539</v>
      </c>
      <c r="B155" s="868" t="s">
        <v>820</v>
      </c>
      <c r="C155" s="868"/>
      <c r="D155" s="868"/>
      <c r="E155" s="868"/>
      <c r="F155" s="868"/>
      <c r="G155" s="868"/>
      <c r="H155" s="868"/>
      <c r="I155" s="868"/>
      <c r="J155" s="868"/>
    </row>
    <row r="156" spans="1:10" s="182" customFormat="1" ht="19" x14ac:dyDescent="0.45">
      <c r="A156" s="10"/>
      <c r="B156" s="870"/>
      <c r="C156" s="870"/>
      <c r="D156" s="872" t="s">
        <v>744</v>
      </c>
      <c r="E156" s="873"/>
      <c r="F156" s="872" t="s">
        <v>744</v>
      </c>
      <c r="G156" s="873"/>
    </row>
    <row r="157" spans="1:10" s="182" customFormat="1" ht="79.150000000000006" customHeight="1" x14ac:dyDescent="0.45">
      <c r="A157" s="10"/>
      <c r="B157" s="874" t="s">
        <v>540</v>
      </c>
      <c r="C157" s="874"/>
      <c r="D157" s="247" t="s">
        <v>541</v>
      </c>
      <c r="E157" s="247" t="s">
        <v>542</v>
      </c>
      <c r="F157" s="247" t="s">
        <v>541</v>
      </c>
      <c r="G157" s="247" t="s">
        <v>542</v>
      </c>
    </row>
    <row r="158" spans="1:10" s="182" customFormat="1" ht="19" x14ac:dyDescent="0.45">
      <c r="A158" s="10"/>
      <c r="B158" s="874" t="s">
        <v>543</v>
      </c>
      <c r="C158" s="874"/>
      <c r="D158" s="83">
        <v>0</v>
      </c>
      <c r="E158" s="250">
        <v>0</v>
      </c>
      <c r="F158" s="83">
        <v>0</v>
      </c>
      <c r="G158" s="250">
        <v>0</v>
      </c>
    </row>
    <row r="159" spans="1:10" s="182" customFormat="1" ht="19" x14ac:dyDescent="0.45">
      <c r="A159" s="10"/>
      <c r="B159" s="870" t="s">
        <v>364</v>
      </c>
      <c r="C159" s="870"/>
      <c r="D159" s="83">
        <v>0</v>
      </c>
      <c r="E159" s="250">
        <v>0</v>
      </c>
      <c r="F159" s="83">
        <v>0</v>
      </c>
      <c r="G159" s="250">
        <v>0</v>
      </c>
    </row>
    <row r="160" spans="1:10" s="182" customFormat="1" ht="19" x14ac:dyDescent="0.45">
      <c r="A160" s="10"/>
      <c r="B160" s="870" t="s">
        <v>544</v>
      </c>
      <c r="C160" s="870"/>
      <c r="D160" s="83">
        <v>0</v>
      </c>
      <c r="E160" s="250">
        <v>0</v>
      </c>
      <c r="F160" s="83">
        <v>0</v>
      </c>
      <c r="G160" s="250">
        <v>0</v>
      </c>
    </row>
    <row r="161" spans="1:10" s="182" customFormat="1" ht="19" x14ac:dyDescent="0.45">
      <c r="A161" s="10"/>
      <c r="B161" s="870" t="s">
        <v>545</v>
      </c>
      <c r="C161" s="870"/>
      <c r="D161" s="176">
        <f>+'Note (13-20)'!F71</f>
        <v>9549877.8000000007</v>
      </c>
      <c r="E161" s="34">
        <v>100</v>
      </c>
      <c r="F161" s="176">
        <f>+'Note (13-20)'!G71</f>
        <v>5852359.5300000003</v>
      </c>
      <c r="G161" s="83">
        <v>100</v>
      </c>
    </row>
    <row r="162" spans="1:10" s="182" customFormat="1" ht="19" x14ac:dyDescent="0.45">
      <c r="A162" s="10"/>
      <c r="B162" s="249"/>
      <c r="C162" s="251"/>
      <c r="D162" s="251"/>
      <c r="E162" s="252"/>
      <c r="F162" s="252"/>
      <c r="G162" s="251"/>
      <c r="H162" s="251"/>
      <c r="I162" s="251"/>
      <c r="J162" s="251"/>
    </row>
    <row r="163" spans="1:10" s="182" customFormat="1" ht="50.5" customHeight="1" x14ac:dyDescent="0.45">
      <c r="A163" s="246" t="s">
        <v>546</v>
      </c>
      <c r="B163" s="862" t="s">
        <v>547</v>
      </c>
      <c r="C163" s="862"/>
      <c r="D163" s="862"/>
      <c r="E163" s="862"/>
      <c r="F163" s="862"/>
      <c r="G163" s="862"/>
      <c r="H163" s="862"/>
      <c r="I163" s="234"/>
      <c r="J163" s="234"/>
    </row>
    <row r="164" spans="1:10" s="182" customFormat="1" ht="24" customHeight="1" x14ac:dyDescent="0.45">
      <c r="A164" s="246" t="s">
        <v>548</v>
      </c>
      <c r="B164" s="862" t="s">
        <v>549</v>
      </c>
      <c r="C164" s="862"/>
      <c r="D164" s="862"/>
      <c r="E164" s="862"/>
      <c r="F164" s="862"/>
      <c r="G164" s="862"/>
      <c r="H164" s="862"/>
      <c r="I164" s="234"/>
      <c r="J164" s="234"/>
    </row>
    <row r="165" spans="1:10" s="182" customFormat="1" ht="47.5" customHeight="1" x14ac:dyDescent="0.45">
      <c r="A165" s="246" t="s">
        <v>550</v>
      </c>
      <c r="B165" s="871" t="s">
        <v>552</v>
      </c>
      <c r="C165" s="871"/>
      <c r="D165" s="871"/>
      <c r="E165" s="871"/>
      <c r="F165" s="871"/>
      <c r="G165" s="871"/>
      <c r="H165" s="871"/>
      <c r="I165" s="234"/>
      <c r="J165" s="234"/>
    </row>
    <row r="166" spans="1:10" s="182" customFormat="1" ht="25.9" customHeight="1" x14ac:dyDescent="0.45">
      <c r="A166" s="246" t="s">
        <v>551</v>
      </c>
      <c r="B166" s="862" t="s">
        <v>554</v>
      </c>
      <c r="C166" s="862"/>
      <c r="D166" s="862"/>
      <c r="E166" s="862"/>
      <c r="F166" s="862"/>
      <c r="G166" s="862"/>
      <c r="H166" s="862"/>
      <c r="I166" s="234"/>
      <c r="J166" s="234"/>
    </row>
    <row r="167" spans="1:10" s="182" customFormat="1" ht="54.65" customHeight="1" x14ac:dyDescent="0.45">
      <c r="A167" s="246" t="s">
        <v>553</v>
      </c>
      <c r="B167" s="875" t="s">
        <v>555</v>
      </c>
      <c r="C167" s="875"/>
      <c r="D167" s="875"/>
      <c r="E167" s="875"/>
      <c r="F167" s="875"/>
      <c r="G167" s="875"/>
      <c r="H167" s="875"/>
      <c r="I167" s="234"/>
      <c r="J167" s="234"/>
    </row>
    <row r="168" spans="1:10" s="182" customFormat="1" ht="18" customHeight="1" x14ac:dyDescent="0.45">
      <c r="I168" s="105"/>
    </row>
    <row r="169" spans="1:10" s="182" customFormat="1" ht="43.15" customHeight="1" x14ac:dyDescent="0.45">
      <c r="I169" s="234"/>
      <c r="J169" s="234"/>
    </row>
    <row r="170" spans="1:10" s="182" customFormat="1" ht="18" customHeight="1" x14ac:dyDescent="0.45">
      <c r="A170" s="171"/>
      <c r="B170" s="233"/>
      <c r="C170" s="233"/>
      <c r="D170" s="233"/>
      <c r="E170" s="233"/>
      <c r="F170" s="233"/>
      <c r="G170" s="233"/>
      <c r="H170" s="233"/>
      <c r="I170" s="233"/>
      <c r="J170" s="233"/>
    </row>
    <row r="172" spans="1:10" x14ac:dyDescent="0.3">
      <c r="B172" s="253" t="s">
        <v>558</v>
      </c>
    </row>
  </sheetData>
  <mergeCells count="67">
    <mergeCell ref="B34:C34"/>
    <mergeCell ref="B35:C35"/>
    <mergeCell ref="B36:C36"/>
    <mergeCell ref="B37:C37"/>
    <mergeCell ref="B24:D24"/>
    <mergeCell ref="B23:D23"/>
    <mergeCell ref="B21:D22"/>
    <mergeCell ref="E21:F21"/>
    <mergeCell ref="B33:C33"/>
    <mergeCell ref="B6:G6"/>
    <mergeCell ref="B8:D8"/>
    <mergeCell ref="B9:D9"/>
    <mergeCell ref="B10:D10"/>
    <mergeCell ref="B11:D11"/>
    <mergeCell ref="B166:H166"/>
    <mergeCell ref="B167:H167"/>
    <mergeCell ref="B12:D12"/>
    <mergeCell ref="B13:D13"/>
    <mergeCell ref="B14:D14"/>
    <mergeCell ref="B15:D15"/>
    <mergeCell ref="B112:H112"/>
    <mergeCell ref="H113:H114"/>
    <mergeCell ref="G113:G114"/>
    <mergeCell ref="B149:H149"/>
    <mergeCell ref="G21:H21"/>
    <mergeCell ref="B27:D28"/>
    <mergeCell ref="E27:F27"/>
    <mergeCell ref="G27:H27"/>
    <mergeCell ref="B29:D29"/>
    <mergeCell ref="B138:J138"/>
    <mergeCell ref="B153:J153"/>
    <mergeCell ref="B154:J154"/>
    <mergeCell ref="B155:J155"/>
    <mergeCell ref="B161:C161"/>
    <mergeCell ref="B165:H165"/>
    <mergeCell ref="D156:E156"/>
    <mergeCell ref="F156:G156"/>
    <mergeCell ref="B163:H163"/>
    <mergeCell ref="B164:H164"/>
    <mergeCell ref="B156:C156"/>
    <mergeCell ref="B157:C157"/>
    <mergeCell ref="B158:C158"/>
    <mergeCell ref="B159:C159"/>
    <mergeCell ref="B160:C160"/>
    <mergeCell ref="B152:H152"/>
    <mergeCell ref="B147:J147"/>
    <mergeCell ref="B148:J148"/>
    <mergeCell ref="B150:J150"/>
    <mergeCell ref="B151:J151"/>
    <mergeCell ref="B141:J141"/>
    <mergeCell ref="B144:K144"/>
    <mergeCell ref="B145:J145"/>
    <mergeCell ref="B146:J146"/>
    <mergeCell ref="B129:I129"/>
    <mergeCell ref="B109:I109"/>
    <mergeCell ref="B43:C43"/>
    <mergeCell ref="B44:C44"/>
    <mergeCell ref="B79:C79"/>
    <mergeCell ref="B78:H78"/>
    <mergeCell ref="B55:E55"/>
    <mergeCell ref="B38:C38"/>
    <mergeCell ref="B53:K53"/>
    <mergeCell ref="B64:E64"/>
    <mergeCell ref="B39:C39"/>
    <mergeCell ref="B40:C40"/>
    <mergeCell ref="B41:C41"/>
    <mergeCell ref="B42:C42"/>
  </mergeCells>
  <phoneticPr fontId="69" type="noConversion"/>
  <pageMargins left="0.13" right="3.937007874015748E-2" top="0.39370078740157483" bottom="0.74803149606299213" header="0.31496062992125984" footer="0.31496062992125984"/>
  <pageSetup scale="44" orientation="portrait" r:id="rId1"/>
  <rowBreaks count="3" manualBreakCount="3">
    <brk id="50" max="8" man="1"/>
    <brk id="127" max="8" man="1"/>
    <brk id="141"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L69"/>
  <sheetViews>
    <sheetView showGridLines="0" view="pageBreakPreview" topLeftCell="B11" zoomScale="85" zoomScaleNormal="100" zoomScaleSheetLayoutView="85" workbookViewId="0">
      <selection activeCell="B22" sqref="B22:L22"/>
    </sheetView>
  </sheetViews>
  <sheetFormatPr defaultColWidth="8.81640625" defaultRowHeight="14.5" x14ac:dyDescent="0.35"/>
  <cols>
    <col min="1" max="1" width="2.1796875" customWidth="1"/>
    <col min="2" max="2" width="40.26953125" style="12" customWidth="1"/>
    <col min="3" max="3" width="0.1796875" style="12" customWidth="1"/>
    <col min="4" max="4" width="31.26953125" style="12" customWidth="1"/>
    <col min="5" max="5" width="13.81640625" style="86" customWidth="1"/>
    <col min="6" max="6" width="23.26953125" style="87" customWidth="1"/>
    <col min="7" max="7" width="30.1796875" style="87" customWidth="1"/>
    <col min="8" max="8" width="18" style="12" customWidth="1"/>
    <col min="9" max="9" width="11" style="12" customWidth="1"/>
    <col min="10" max="10" width="23.26953125" style="12" bestFit="1" customWidth="1"/>
    <col min="11" max="11" width="26.81640625" style="12" bestFit="1" customWidth="1"/>
    <col min="12" max="12" width="12.1796875" style="12" bestFit="1" customWidth="1"/>
    <col min="13" max="16384" width="8.81640625" style="12"/>
  </cols>
  <sheetData>
    <row r="1" spans="1:12" ht="17.5" x14ac:dyDescent="0.35">
      <c r="B1" s="567" t="s">
        <v>849</v>
      </c>
      <c r="C1"/>
      <c r="D1"/>
      <c r="E1" s="568"/>
      <c r="F1" s="569"/>
      <c r="G1" s="569"/>
      <c r="H1"/>
      <c r="I1"/>
      <c r="J1"/>
      <c r="K1"/>
      <c r="L1"/>
    </row>
    <row r="2" spans="1:12" ht="16" thickBot="1" x14ac:dyDescent="0.4">
      <c r="B2" s="570" t="str">
        <f>Borrowing!A2</f>
        <v>Notes to financial statements for the year ended at 31st March 2025</v>
      </c>
      <c r="C2" s="571"/>
      <c r="D2" s="571"/>
      <c r="E2" s="572"/>
      <c r="F2" s="573"/>
      <c r="G2" s="573"/>
      <c r="H2" s="571"/>
      <c r="I2" s="571"/>
      <c r="J2" s="571"/>
      <c r="K2" s="571"/>
      <c r="L2" s="571"/>
    </row>
    <row r="3" spans="1:12" ht="21" customHeight="1" thickTop="1" x14ac:dyDescent="0.35">
      <c r="B3" s="4"/>
      <c r="C3"/>
      <c r="D3"/>
      <c r="E3" s="568"/>
      <c r="F3" s="569"/>
      <c r="G3" s="569"/>
      <c r="H3"/>
      <c r="I3" s="574"/>
      <c r="J3"/>
      <c r="K3"/>
      <c r="L3" s="575"/>
    </row>
    <row r="4" spans="1:12" x14ac:dyDescent="0.35">
      <c r="B4" s="4"/>
      <c r="C4"/>
      <c r="D4"/>
      <c r="E4" s="568"/>
      <c r="F4" s="569"/>
      <c r="G4" s="569"/>
      <c r="H4"/>
      <c r="I4"/>
      <c r="J4"/>
      <c r="K4"/>
      <c r="L4"/>
    </row>
    <row r="5" spans="1:12" ht="15.5" x14ac:dyDescent="0.35">
      <c r="A5" s="592"/>
      <c r="B5" s="589" t="s">
        <v>739</v>
      </c>
      <c r="C5" s="588"/>
      <c r="D5" s="588"/>
      <c r="E5" s="894" t="s">
        <v>829</v>
      </c>
      <c r="F5" s="895"/>
      <c r="G5" s="895"/>
      <c r="H5" s="896"/>
      <c r="I5" s="894" t="s">
        <v>822</v>
      </c>
      <c r="J5" s="895"/>
      <c r="K5" s="895"/>
      <c r="L5" s="896"/>
    </row>
    <row r="6" spans="1:12" ht="58.5" customHeight="1" x14ac:dyDescent="0.35">
      <c r="A6" s="591"/>
      <c r="B6" s="576" t="s">
        <v>441</v>
      </c>
      <c r="C6" s="577"/>
      <c r="D6" s="578" t="s">
        <v>37</v>
      </c>
      <c r="E6" s="579" t="s">
        <v>830</v>
      </c>
      <c r="F6" s="580" t="s">
        <v>442</v>
      </c>
      <c r="G6" s="581" t="s">
        <v>443</v>
      </c>
      <c r="H6" s="582" t="s">
        <v>444</v>
      </c>
      <c r="I6" s="583" t="s">
        <v>741</v>
      </c>
      <c r="J6" s="580" t="s">
        <v>442</v>
      </c>
      <c r="K6" s="581" t="s">
        <v>443</v>
      </c>
      <c r="L6" s="582" t="s">
        <v>444</v>
      </c>
    </row>
    <row r="7" spans="1:12" ht="19" x14ac:dyDescent="0.45">
      <c r="A7" s="591"/>
      <c r="B7" s="584"/>
      <c r="C7" s="585"/>
      <c r="D7" s="586" t="s">
        <v>445</v>
      </c>
      <c r="E7" s="587"/>
      <c r="F7" s="177"/>
      <c r="G7" s="177"/>
      <c r="H7" s="177">
        <f>IFERROR(F7-G7,0)</f>
        <v>0</v>
      </c>
      <c r="I7" s="587"/>
      <c r="J7" s="177"/>
      <c r="K7" s="177"/>
      <c r="L7" s="177">
        <f>IFERROR(J7-K7,0)</f>
        <v>0</v>
      </c>
    </row>
    <row r="8" spans="1:12" ht="19" x14ac:dyDescent="0.45">
      <c r="A8" s="591"/>
      <c r="B8" s="584"/>
      <c r="C8" s="585"/>
      <c r="D8" s="586" t="s">
        <v>446</v>
      </c>
      <c r="E8" s="587"/>
      <c r="F8" s="177"/>
      <c r="G8" s="177"/>
      <c r="H8" s="177">
        <f>IFERROR(F8-G8,0)</f>
        <v>0</v>
      </c>
      <c r="I8" s="587"/>
      <c r="J8" s="177"/>
      <c r="K8" s="177"/>
      <c r="L8" s="177">
        <f>IFERROR(J8-K8,0)</f>
        <v>0</v>
      </c>
    </row>
    <row r="9" spans="1:12" ht="19" x14ac:dyDescent="0.45">
      <c r="A9" s="591"/>
      <c r="B9" s="584"/>
      <c r="C9" s="588"/>
      <c r="D9" s="589" t="s">
        <v>447</v>
      </c>
      <c r="E9" s="590">
        <v>45444</v>
      </c>
      <c r="F9" s="177"/>
      <c r="G9" s="177"/>
      <c r="H9" s="177">
        <f t="shared" ref="H9" si="0">IFERROR(F9-G9,0)</f>
        <v>0</v>
      </c>
      <c r="I9" s="590">
        <v>45078</v>
      </c>
      <c r="J9" s="177"/>
      <c r="K9" s="177"/>
      <c r="L9" s="177">
        <f t="shared" ref="L9" si="1">IFERROR(J9-K9,0)</f>
        <v>0</v>
      </c>
    </row>
    <row r="10" spans="1:12" ht="19" x14ac:dyDescent="0.45">
      <c r="A10" s="591"/>
      <c r="B10" s="584"/>
      <c r="C10" s="585"/>
      <c r="D10" s="586" t="s">
        <v>445</v>
      </c>
      <c r="E10" s="587"/>
      <c r="F10" s="177"/>
      <c r="G10" s="177"/>
      <c r="H10" s="177">
        <f>IFERROR(F10-G10,0)</f>
        <v>0</v>
      </c>
      <c r="I10" s="587"/>
      <c r="J10" s="177"/>
      <c r="K10" s="177"/>
      <c r="L10" s="177">
        <f>IFERROR(J10-K10,0)</f>
        <v>0</v>
      </c>
    </row>
    <row r="11" spans="1:12" ht="19" x14ac:dyDescent="0.45">
      <c r="A11" s="591"/>
      <c r="B11" s="584"/>
      <c r="C11" s="585"/>
      <c r="D11" s="586" t="s">
        <v>446</v>
      </c>
      <c r="E11" s="587"/>
      <c r="F11" s="177"/>
      <c r="G11" s="177"/>
      <c r="H11" s="177">
        <f t="shared" ref="H11:H12" si="2">IFERROR(F11-G11,0)</f>
        <v>0</v>
      </c>
      <c r="I11" s="587"/>
      <c r="J11" s="177"/>
      <c r="K11" s="177"/>
      <c r="L11" s="177">
        <f t="shared" ref="L11:L12" si="3">IFERROR(J11-K11,0)</f>
        <v>0</v>
      </c>
    </row>
    <row r="12" spans="1:12" ht="19" x14ac:dyDescent="0.45">
      <c r="A12" s="591"/>
      <c r="B12" s="584"/>
      <c r="C12" s="585"/>
      <c r="D12" s="589" t="s">
        <v>447</v>
      </c>
      <c r="E12" s="590">
        <v>45536</v>
      </c>
      <c r="F12" s="177"/>
      <c r="G12" s="177"/>
      <c r="H12" s="177">
        <f t="shared" si="2"/>
        <v>0</v>
      </c>
      <c r="I12" s="590">
        <v>45170</v>
      </c>
      <c r="J12" s="177"/>
      <c r="K12" s="177"/>
      <c r="L12" s="177">
        <f t="shared" si="3"/>
        <v>0</v>
      </c>
    </row>
    <row r="13" spans="1:12" ht="19" x14ac:dyDescent="0.45">
      <c r="A13" s="591"/>
      <c r="B13" s="584"/>
      <c r="C13" s="588"/>
      <c r="D13" s="586" t="s">
        <v>445</v>
      </c>
      <c r="E13" s="587"/>
      <c r="F13" s="177"/>
      <c r="G13" s="177"/>
      <c r="H13" s="177">
        <f t="shared" ref="H13:H15" si="4">IFERROR(F13-G13,0)</f>
        <v>0</v>
      </c>
      <c r="I13" s="587"/>
      <c r="J13" s="177"/>
      <c r="K13" s="177"/>
      <c r="L13" s="177">
        <f t="shared" ref="L13:L15" si="5">IFERROR(J13-K13,0)</f>
        <v>0</v>
      </c>
    </row>
    <row r="14" spans="1:12" ht="19" x14ac:dyDescent="0.45">
      <c r="A14" s="591"/>
      <c r="B14" s="584"/>
      <c r="C14" s="588"/>
      <c r="D14" s="586" t="s">
        <v>446</v>
      </c>
      <c r="E14" s="587"/>
      <c r="F14" s="177"/>
      <c r="G14" s="177"/>
      <c r="H14" s="177">
        <f t="shared" si="4"/>
        <v>0</v>
      </c>
      <c r="I14" s="587"/>
      <c r="J14" s="177"/>
      <c r="K14" s="177"/>
      <c r="L14" s="177">
        <f t="shared" si="5"/>
        <v>0</v>
      </c>
    </row>
    <row r="15" spans="1:12" ht="19" x14ac:dyDescent="0.45">
      <c r="A15" s="591"/>
      <c r="B15" s="584"/>
      <c r="C15" s="588"/>
      <c r="D15" s="589" t="s">
        <v>447</v>
      </c>
      <c r="E15" s="590">
        <v>45627</v>
      </c>
      <c r="F15" s="177"/>
      <c r="G15" s="177"/>
      <c r="H15" s="177">
        <f t="shared" si="4"/>
        <v>0</v>
      </c>
      <c r="I15" s="590">
        <v>45261</v>
      </c>
      <c r="J15" s="177"/>
      <c r="K15" s="177"/>
      <c r="L15" s="177">
        <f t="shared" si="5"/>
        <v>0</v>
      </c>
    </row>
    <row r="16" spans="1:12" ht="19" x14ac:dyDescent="0.45">
      <c r="A16" s="591"/>
      <c r="B16" s="584"/>
      <c r="C16" s="588"/>
      <c r="D16" s="586" t="s">
        <v>445</v>
      </c>
      <c r="E16" s="587"/>
      <c r="F16" s="177"/>
      <c r="G16" s="177"/>
      <c r="H16" s="177">
        <f>IFERROR(F16-G16,0)</f>
        <v>0</v>
      </c>
      <c r="I16" s="587"/>
      <c r="J16" s="177"/>
      <c r="K16" s="177"/>
      <c r="L16" s="177">
        <f>IFERROR(J16-K16,0)</f>
        <v>0</v>
      </c>
    </row>
    <row r="17" spans="1:12" ht="19" x14ac:dyDescent="0.45">
      <c r="A17" s="591"/>
      <c r="B17" s="584"/>
      <c r="C17" s="588"/>
      <c r="D17" s="586" t="s">
        <v>446</v>
      </c>
      <c r="E17" s="587"/>
      <c r="F17" s="177"/>
      <c r="G17" s="177"/>
      <c r="H17" s="177">
        <f t="shared" ref="H17:H18" si="6">IFERROR(F17-G17,0)</f>
        <v>0</v>
      </c>
      <c r="I17" s="587"/>
      <c r="J17" s="177"/>
      <c r="K17" s="177"/>
      <c r="L17" s="177">
        <f t="shared" ref="L17:L18" si="7">IFERROR(J17-K17,0)</f>
        <v>0</v>
      </c>
    </row>
    <row r="18" spans="1:12" ht="19" x14ac:dyDescent="0.45">
      <c r="A18" s="591"/>
      <c r="B18" s="584"/>
      <c r="C18" s="588"/>
      <c r="D18" s="589" t="s">
        <v>447</v>
      </c>
      <c r="E18" s="590">
        <v>45352</v>
      </c>
      <c r="F18" s="177"/>
      <c r="G18" s="177"/>
      <c r="H18" s="177">
        <f t="shared" si="6"/>
        <v>0</v>
      </c>
      <c r="I18" s="590">
        <v>45352</v>
      </c>
      <c r="J18" s="177"/>
      <c r="K18" s="177"/>
      <c r="L18" s="177">
        <f t="shared" si="7"/>
        <v>0</v>
      </c>
    </row>
    <row r="19" spans="1:12" ht="14" x14ac:dyDescent="0.3">
      <c r="A19" s="591"/>
      <c r="B19" s="591"/>
      <c r="C19" s="591"/>
      <c r="D19" s="592"/>
      <c r="E19" s="593"/>
      <c r="F19" s="594"/>
      <c r="G19" s="594"/>
      <c r="H19" s="594"/>
      <c r="I19" s="594"/>
      <c r="J19" s="591"/>
      <c r="K19"/>
      <c r="L19"/>
    </row>
    <row r="20" spans="1:12" ht="14" x14ac:dyDescent="0.3">
      <c r="A20" s="591"/>
      <c r="B20" s="591"/>
      <c r="C20" s="591"/>
      <c r="D20" s="591"/>
      <c r="E20" s="595"/>
      <c r="F20" s="596"/>
      <c r="G20" s="596"/>
      <c r="H20" s="591"/>
      <c r="I20" s="591"/>
      <c r="J20" s="591"/>
      <c r="K20"/>
      <c r="L20"/>
    </row>
    <row r="21" spans="1:12" ht="1.1499999999999999" customHeight="1" x14ac:dyDescent="0.35">
      <c r="B21" s="597"/>
      <c r="C21"/>
      <c r="D21"/>
      <c r="E21" s="568"/>
      <c r="F21" s="569"/>
      <c r="G21" s="569"/>
      <c r="H21"/>
      <c r="I21"/>
      <c r="J21"/>
      <c r="K21"/>
      <c r="L21"/>
    </row>
    <row r="22" spans="1:12" ht="49.9" customHeight="1" x14ac:dyDescent="0.25">
      <c r="B22" s="897" t="s">
        <v>740</v>
      </c>
      <c r="C22" s="897"/>
      <c r="D22" s="897"/>
      <c r="E22" s="897"/>
      <c r="F22" s="897"/>
      <c r="G22" s="897"/>
      <c r="H22" s="897"/>
      <c r="I22" s="897"/>
      <c r="J22" s="897"/>
      <c r="K22" s="897"/>
      <c r="L22" s="897"/>
    </row>
    <row r="23" spans="1:12" x14ac:dyDescent="0.35">
      <c r="B23" s="5" t="s">
        <v>738</v>
      </c>
      <c r="C23"/>
      <c r="D23"/>
      <c r="E23" s="568"/>
      <c r="F23" s="569"/>
      <c r="G23" s="569"/>
      <c r="H23"/>
      <c r="I23"/>
      <c r="J23"/>
      <c r="K23"/>
      <c r="L23"/>
    </row>
    <row r="24" spans="1:12" x14ac:dyDescent="0.35">
      <c r="B24"/>
      <c r="C24"/>
      <c r="D24"/>
      <c r="E24" s="568"/>
      <c r="F24" s="569"/>
      <c r="G24" s="569"/>
      <c r="H24"/>
      <c r="I24"/>
      <c r="J24"/>
      <c r="K24"/>
      <c r="L24"/>
    </row>
    <row r="25" spans="1:12" ht="19" x14ac:dyDescent="0.45">
      <c r="B25" s="893"/>
      <c r="C25" s="893"/>
      <c r="D25" s="893"/>
      <c r="E25" s="893"/>
      <c r="F25" s="893"/>
      <c r="G25" s="893"/>
      <c r="H25" s="893"/>
      <c r="I25" s="598"/>
      <c r="J25" s="599"/>
      <c r="K25"/>
      <c r="L25"/>
    </row>
    <row r="26" spans="1:12" ht="19" x14ac:dyDescent="0.45">
      <c r="B26" s="893"/>
      <c r="C26" s="893"/>
      <c r="D26" s="893"/>
      <c r="E26" s="893"/>
      <c r="F26" s="893"/>
      <c r="G26" s="893"/>
      <c r="H26" s="893"/>
      <c r="I26" s="598"/>
      <c r="J26" s="600"/>
      <c r="K26"/>
      <c r="L26"/>
    </row>
    <row r="27" spans="1:12" x14ac:dyDescent="0.35">
      <c r="B27"/>
      <c r="C27"/>
      <c r="D27"/>
      <c r="E27" s="568"/>
      <c r="F27" s="569"/>
      <c r="G27" s="569"/>
      <c r="H27"/>
      <c r="I27"/>
      <c r="J27" s="600"/>
      <c r="K27"/>
      <c r="L27"/>
    </row>
    <row r="28" spans="1:12" x14ac:dyDescent="0.35">
      <c r="B28"/>
      <c r="C28"/>
      <c r="D28"/>
      <c r="E28" s="568"/>
      <c r="F28" s="569"/>
      <c r="G28" s="569"/>
      <c r="H28"/>
      <c r="I28"/>
      <c r="J28" s="600"/>
      <c r="K28"/>
      <c r="L28"/>
    </row>
    <row r="29" spans="1:12" ht="15.5" x14ac:dyDescent="0.35">
      <c r="B29"/>
      <c r="C29"/>
      <c r="D29"/>
      <c r="E29" s="568"/>
      <c r="F29" s="569"/>
      <c r="G29" s="569"/>
      <c r="H29"/>
      <c r="I29"/>
      <c r="J29" s="599"/>
      <c r="K29"/>
      <c r="L29"/>
    </row>
    <row r="30" spans="1:12" x14ac:dyDescent="0.35">
      <c r="B30"/>
      <c r="C30"/>
      <c r="D30"/>
      <c r="E30" s="568"/>
      <c r="F30" s="569"/>
      <c r="G30" s="569"/>
      <c r="H30"/>
      <c r="I30"/>
      <c r="J30" s="600"/>
      <c r="K30"/>
      <c r="L30"/>
    </row>
    <row r="31" spans="1:12" x14ac:dyDescent="0.35">
      <c r="B31"/>
      <c r="C31"/>
      <c r="D31"/>
      <c r="E31" s="568"/>
      <c r="F31" s="569"/>
      <c r="G31" s="569"/>
      <c r="H31"/>
      <c r="I31"/>
      <c r="J31" s="600"/>
      <c r="K31"/>
      <c r="L31"/>
    </row>
    <row r="32" spans="1:12" x14ac:dyDescent="0.35">
      <c r="B32"/>
      <c r="C32"/>
      <c r="D32"/>
      <c r="E32" s="568"/>
      <c r="F32" s="569"/>
      <c r="G32" s="569"/>
      <c r="H32"/>
      <c r="I32"/>
      <c r="J32" s="600"/>
      <c r="K32"/>
      <c r="L32"/>
    </row>
    <row r="33" spans="2:12" ht="15.5" x14ac:dyDescent="0.35">
      <c r="B33"/>
      <c r="C33"/>
      <c r="D33"/>
      <c r="E33" s="568"/>
      <c r="F33" s="569"/>
      <c r="G33" s="569"/>
      <c r="H33"/>
      <c r="I33"/>
      <c r="J33" s="599"/>
      <c r="K33"/>
      <c r="L33"/>
    </row>
    <row r="34" spans="2:12" x14ac:dyDescent="0.35">
      <c r="B34"/>
      <c r="C34"/>
      <c r="D34"/>
      <c r="E34" s="568"/>
      <c r="F34" s="569"/>
      <c r="G34" s="569"/>
      <c r="H34"/>
      <c r="I34"/>
      <c r="J34" s="600"/>
      <c r="K34"/>
      <c r="L34"/>
    </row>
    <row r="35" spans="2:12" x14ac:dyDescent="0.35">
      <c r="B35"/>
      <c r="C35"/>
      <c r="D35"/>
      <c r="E35" s="568"/>
      <c r="F35" s="569"/>
      <c r="G35" s="569"/>
      <c r="H35"/>
      <c r="I35"/>
      <c r="J35" s="600"/>
      <c r="K35"/>
      <c r="L35"/>
    </row>
    <row r="36" spans="2:12" x14ac:dyDescent="0.35">
      <c r="B36"/>
      <c r="C36"/>
      <c r="D36"/>
      <c r="E36" s="568"/>
      <c r="F36" s="569"/>
      <c r="G36" s="569"/>
      <c r="H36"/>
      <c r="I36"/>
      <c r="J36" s="600"/>
      <c r="K36"/>
      <c r="L36"/>
    </row>
    <row r="37" spans="2:12" ht="15.5" x14ac:dyDescent="0.35">
      <c r="B37"/>
      <c r="C37"/>
      <c r="D37"/>
      <c r="E37" s="568"/>
      <c r="F37" s="569"/>
      <c r="G37" s="569"/>
      <c r="H37"/>
      <c r="I37"/>
      <c r="J37" s="599"/>
      <c r="K37"/>
      <c r="L37"/>
    </row>
    <row r="38" spans="2:12" x14ac:dyDescent="0.35">
      <c r="B38"/>
      <c r="C38"/>
      <c r="D38"/>
      <c r="E38" s="568"/>
      <c r="F38" s="569"/>
      <c r="G38" s="569"/>
      <c r="H38"/>
      <c r="I38"/>
      <c r="J38" s="600"/>
      <c r="K38"/>
      <c r="L38"/>
    </row>
    <row r="39" spans="2:12" x14ac:dyDescent="0.35">
      <c r="B39"/>
      <c r="C39"/>
      <c r="D39"/>
      <c r="E39" s="568"/>
      <c r="F39" s="569"/>
      <c r="G39" s="569"/>
      <c r="H39"/>
      <c r="I39"/>
      <c r="J39" s="600"/>
      <c r="K39"/>
      <c r="L39"/>
    </row>
    <row r="40" spans="2:12" x14ac:dyDescent="0.35">
      <c r="B40"/>
      <c r="C40"/>
      <c r="D40"/>
      <c r="E40" s="568"/>
      <c r="F40" s="569"/>
      <c r="G40" s="569"/>
      <c r="H40"/>
      <c r="I40"/>
      <c r="J40" s="600"/>
      <c r="K40"/>
      <c r="L40"/>
    </row>
    <row r="41" spans="2:12" ht="15.5" x14ac:dyDescent="0.35">
      <c r="B41"/>
      <c r="C41"/>
      <c r="D41"/>
      <c r="E41" s="568"/>
      <c r="F41" s="569"/>
      <c r="G41" s="569"/>
      <c r="H41"/>
      <c r="I41"/>
      <c r="J41" s="599"/>
      <c r="K41"/>
      <c r="L41"/>
    </row>
    <row r="42" spans="2:12" x14ac:dyDescent="0.35">
      <c r="J42" s="270"/>
    </row>
    <row r="43" spans="2:12" x14ac:dyDescent="0.35">
      <c r="J43" s="270"/>
    </row>
    <row r="44" spans="2:12" x14ac:dyDescent="0.35">
      <c r="J44" s="270"/>
    </row>
    <row r="45" spans="2:12" ht="15.5" x14ac:dyDescent="0.35">
      <c r="J45" s="269"/>
    </row>
    <row r="46" spans="2:12" x14ac:dyDescent="0.35">
      <c r="J46" s="270"/>
    </row>
    <row r="47" spans="2:12" x14ac:dyDescent="0.35">
      <c r="J47" s="270"/>
    </row>
    <row r="48" spans="2:12" x14ac:dyDescent="0.35">
      <c r="J48" s="270"/>
    </row>
    <row r="49" spans="10:10" ht="15.5" x14ac:dyDescent="0.35">
      <c r="J49" s="269"/>
    </row>
    <row r="50" spans="10:10" x14ac:dyDescent="0.35">
      <c r="J50" s="270"/>
    </row>
    <row r="51" spans="10:10" x14ac:dyDescent="0.35">
      <c r="J51" s="270"/>
    </row>
    <row r="52" spans="10:10" x14ac:dyDescent="0.35">
      <c r="J52" s="270"/>
    </row>
    <row r="53" spans="10:10" ht="15.5" x14ac:dyDescent="0.35">
      <c r="J53" s="269"/>
    </row>
    <row r="54" spans="10:10" x14ac:dyDescent="0.35">
      <c r="J54" s="270"/>
    </row>
    <row r="55" spans="10:10" x14ac:dyDescent="0.35">
      <c r="J55" s="270"/>
    </row>
    <row r="56" spans="10:10" x14ac:dyDescent="0.35">
      <c r="J56" s="270"/>
    </row>
    <row r="57" spans="10:10" ht="15.5" x14ac:dyDescent="0.35">
      <c r="J57" s="269"/>
    </row>
    <row r="58" spans="10:10" x14ac:dyDescent="0.35">
      <c r="J58" s="270"/>
    </row>
    <row r="59" spans="10:10" x14ac:dyDescent="0.35">
      <c r="J59" s="270"/>
    </row>
    <row r="60" spans="10:10" x14ac:dyDescent="0.35">
      <c r="J60" s="270"/>
    </row>
    <row r="61" spans="10:10" ht="15.5" x14ac:dyDescent="0.35">
      <c r="J61" s="269"/>
    </row>
    <row r="62" spans="10:10" x14ac:dyDescent="0.35">
      <c r="J62" s="270"/>
    </row>
    <row r="63" spans="10:10" x14ac:dyDescent="0.35">
      <c r="J63" s="270"/>
    </row>
    <row r="64" spans="10:10" x14ac:dyDescent="0.35">
      <c r="J64" s="270"/>
    </row>
    <row r="65" spans="10:10" ht="15.5" x14ac:dyDescent="0.35">
      <c r="J65" s="269"/>
    </row>
    <row r="66" spans="10:10" x14ac:dyDescent="0.35">
      <c r="J66" s="270"/>
    </row>
    <row r="67" spans="10:10" x14ac:dyDescent="0.35">
      <c r="J67" s="270"/>
    </row>
    <row r="68" spans="10:10" x14ac:dyDescent="0.35">
      <c r="J68" s="270"/>
    </row>
    <row r="69" spans="10:10" ht="15.5" x14ac:dyDescent="0.35">
      <c r="J69" s="269"/>
    </row>
  </sheetData>
  <mergeCells count="4">
    <mergeCell ref="B25:H26"/>
    <mergeCell ref="E5:H5"/>
    <mergeCell ref="I5:L5"/>
    <mergeCell ref="B22:L22"/>
  </mergeCells>
  <pageMargins left="0.23622047244094491" right="0.23622047244094491" top="0.35433070866141736" bottom="0.74803149606299213" header="0.31496062992125984" footer="0.31496062992125984"/>
  <pageSetup scale="5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N43"/>
  <sheetViews>
    <sheetView showGridLines="0" view="pageBreakPreview" zoomScale="70" zoomScaleNormal="80" zoomScaleSheetLayoutView="70" workbookViewId="0">
      <pane ySplit="6" topLeftCell="A7" activePane="bottomLeft" state="frozen"/>
      <selection activeCell="F25" sqref="F25"/>
      <selection pane="bottomLeft" activeCell="A13" sqref="A13"/>
    </sheetView>
  </sheetViews>
  <sheetFormatPr defaultColWidth="9.26953125" defaultRowHeight="15.5" x14ac:dyDescent="0.35"/>
  <cols>
    <col min="1" max="1" width="4.7265625" style="521" customWidth="1"/>
    <col min="2" max="2" width="8" style="521" customWidth="1"/>
    <col min="3" max="3" width="33.54296875" style="524" customWidth="1"/>
    <col min="4" max="4" width="37.453125" style="524" customWidth="1"/>
    <col min="5" max="5" width="19.7265625" style="524" bestFit="1" customWidth="1"/>
    <col min="6" max="6" width="19.7265625" style="524" customWidth="1"/>
    <col min="7" max="7" width="19.7265625" style="524" bestFit="1" customWidth="1"/>
    <col min="8" max="8" width="19" style="524" customWidth="1"/>
    <col min="9" max="9" width="13.7265625" style="524" customWidth="1"/>
    <col min="10" max="10" width="12.7265625" style="524" customWidth="1"/>
    <col min="11" max="11" width="16.54296875" style="524" customWidth="1"/>
    <col min="12" max="12" width="20" style="521" customWidth="1"/>
    <col min="13" max="13" width="16.7265625" style="521" customWidth="1"/>
    <col min="14" max="14" width="14.26953125" style="521" customWidth="1"/>
    <col min="15" max="15" width="12" style="521" bestFit="1" customWidth="1"/>
    <col min="16" max="16" width="10.81640625" style="521" bestFit="1" customWidth="1"/>
    <col min="17" max="16384" width="9.26953125" style="521"/>
  </cols>
  <sheetData>
    <row r="1" spans="1:14" ht="17.5" x14ac:dyDescent="0.35">
      <c r="A1" s="536" t="str">
        <f>'Note 12 (PPE)'!A1:K1</f>
        <v>ABC INDIA LIMITED</v>
      </c>
    </row>
    <row r="2" spans="1:14" s="538" customFormat="1" ht="16" thickBot="1" x14ac:dyDescent="0.4">
      <c r="A2" s="537" t="str">
        <f>'Note 12 (PPE)'!A2</f>
        <v>Notes to financial statements for the year ended at 31st March 2025</v>
      </c>
      <c r="C2" s="539"/>
      <c r="D2" s="539"/>
      <c r="E2" s="539"/>
      <c r="F2" s="539"/>
      <c r="G2" s="539"/>
      <c r="H2" s="539"/>
      <c r="I2" s="539"/>
      <c r="J2" s="539"/>
      <c r="K2" s="539"/>
    </row>
    <row r="3" spans="1:14" ht="16" thickTop="1" x14ac:dyDescent="0.35">
      <c r="A3" s="397" t="s">
        <v>842</v>
      </c>
      <c r="N3" s="529"/>
    </row>
    <row r="4" spans="1:14" x14ac:dyDescent="0.35">
      <c r="A4" s="529" t="s">
        <v>420</v>
      </c>
      <c r="B4" s="397" t="s">
        <v>421</v>
      </c>
    </row>
    <row r="5" spans="1:14" x14ac:dyDescent="0.35">
      <c r="B5" s="898" t="s">
        <v>422</v>
      </c>
      <c r="C5" s="900" t="s">
        <v>423</v>
      </c>
      <c r="D5" s="900" t="s">
        <v>424</v>
      </c>
      <c r="E5" s="901" t="s">
        <v>772</v>
      </c>
      <c r="F5" s="901"/>
      <c r="G5" s="901" t="s">
        <v>466</v>
      </c>
      <c r="H5" s="901"/>
      <c r="I5" s="898" t="s">
        <v>425</v>
      </c>
      <c r="J5" s="898"/>
      <c r="K5" s="898"/>
      <c r="L5" s="898" t="s">
        <v>426</v>
      </c>
      <c r="M5" s="898"/>
      <c r="N5" s="898"/>
    </row>
    <row r="6" spans="1:14" ht="16" thickBot="1" x14ac:dyDescent="0.4">
      <c r="B6" s="899"/>
      <c r="C6" s="899"/>
      <c r="D6" s="899"/>
      <c r="E6" s="530" t="s">
        <v>427</v>
      </c>
      <c r="F6" s="530" t="s">
        <v>373</v>
      </c>
      <c r="G6" s="530" t="s">
        <v>427</v>
      </c>
      <c r="H6" s="530" t="s">
        <v>373</v>
      </c>
      <c r="I6" s="899"/>
      <c r="J6" s="899"/>
      <c r="K6" s="899"/>
      <c r="L6" s="899"/>
      <c r="M6" s="899"/>
      <c r="N6" s="899"/>
    </row>
    <row r="7" spans="1:14" ht="21.65" customHeight="1" x14ac:dyDescent="0.35">
      <c r="B7" s="528" t="s">
        <v>428</v>
      </c>
      <c r="C7" s="540"/>
      <c r="D7" s="531"/>
      <c r="E7" s="532"/>
      <c r="F7" s="532"/>
      <c r="G7" s="532"/>
      <c r="H7" s="532"/>
      <c r="I7" s="531"/>
      <c r="J7" s="531"/>
      <c r="K7" s="531"/>
      <c r="L7" s="531"/>
      <c r="M7" s="531"/>
      <c r="N7" s="531"/>
    </row>
    <row r="8" spans="1:14" ht="36.75" customHeight="1" x14ac:dyDescent="0.35">
      <c r="B8" s="522">
        <v>1</v>
      </c>
      <c r="C8" s="523"/>
      <c r="D8" s="523"/>
      <c r="E8" s="523"/>
      <c r="F8" s="523"/>
      <c r="G8" s="523"/>
      <c r="H8" s="523"/>
      <c r="I8" s="902"/>
      <c r="J8" s="903"/>
      <c r="K8" s="903"/>
      <c r="L8" s="904"/>
      <c r="M8" s="904"/>
      <c r="N8" s="904"/>
    </row>
    <row r="9" spans="1:14" ht="34.9" customHeight="1" x14ac:dyDescent="0.35">
      <c r="B9" s="522">
        <f t="shared" ref="B9" si="0">B8+1</f>
        <v>2</v>
      </c>
      <c r="C9" s="523"/>
      <c r="D9" s="523"/>
      <c r="E9" s="523"/>
      <c r="F9" s="523"/>
      <c r="G9" s="523"/>
      <c r="H9" s="523"/>
      <c r="I9" s="902"/>
      <c r="J9" s="903"/>
      <c r="K9" s="903"/>
      <c r="L9" s="904"/>
      <c r="M9" s="904"/>
      <c r="N9" s="904"/>
    </row>
    <row r="10" spans="1:14" x14ac:dyDescent="0.35">
      <c r="E10" s="525">
        <f>SUM(E8:E9)</f>
        <v>0</v>
      </c>
      <c r="F10" s="525">
        <f>SUM(F8:F9)</f>
        <v>0</v>
      </c>
      <c r="G10" s="525">
        <f>SUM(G8:G9)</f>
        <v>0</v>
      </c>
      <c r="H10" s="525">
        <f>SUM(H8:H9)</f>
        <v>0</v>
      </c>
    </row>
    <row r="11" spans="1:14" x14ac:dyDescent="0.35">
      <c r="B11" s="528" t="s">
        <v>431</v>
      </c>
    </row>
    <row r="12" spans="1:14" ht="54" customHeight="1" x14ac:dyDescent="0.35">
      <c r="B12" s="522">
        <v>1</v>
      </c>
      <c r="C12" s="523"/>
      <c r="D12" s="523"/>
      <c r="E12" s="523"/>
      <c r="F12" s="523"/>
      <c r="G12" s="523"/>
      <c r="H12" s="523"/>
      <c r="I12" s="902"/>
      <c r="J12" s="902"/>
      <c r="K12" s="902"/>
      <c r="L12" s="533"/>
      <c r="M12" s="533"/>
      <c r="N12" s="533"/>
    </row>
    <row r="13" spans="1:14" ht="46.9" customHeight="1" x14ac:dyDescent="0.35">
      <c r="B13" s="522">
        <f>B12+1</f>
        <v>2</v>
      </c>
      <c r="C13" s="523"/>
      <c r="D13" s="523"/>
      <c r="E13" s="523"/>
      <c r="F13" s="523"/>
      <c r="G13" s="523"/>
      <c r="H13" s="523"/>
      <c r="I13" s="902"/>
      <c r="J13" s="902"/>
      <c r="K13" s="902"/>
      <c r="L13" s="533"/>
      <c r="M13" s="533"/>
      <c r="N13" s="533"/>
    </row>
    <row r="14" spans="1:14" x14ac:dyDescent="0.35">
      <c r="B14" s="522"/>
      <c r="C14" s="523"/>
      <c r="D14" s="523"/>
      <c r="E14" s="525">
        <f>SUM(E12:E13)</f>
        <v>0</v>
      </c>
      <c r="F14" s="525">
        <f>SUM(F12:F13)</f>
        <v>0</v>
      </c>
      <c r="G14" s="525">
        <f>SUM(G12:G13)</f>
        <v>0</v>
      </c>
      <c r="H14" s="525">
        <f>SUM(H12:H13)</f>
        <v>0</v>
      </c>
      <c r="I14" s="520"/>
      <c r="J14" s="520"/>
      <c r="K14" s="520"/>
      <c r="L14" s="526"/>
      <c r="M14" s="526"/>
      <c r="N14" s="526"/>
    </row>
    <row r="15" spans="1:14" x14ac:dyDescent="0.35">
      <c r="B15" s="522"/>
      <c r="C15" s="523"/>
      <c r="D15" s="523"/>
      <c r="E15" s="527"/>
      <c r="F15" s="527"/>
      <c r="G15" s="527"/>
      <c r="H15" s="527"/>
      <c r="I15" s="520"/>
      <c r="J15" s="520"/>
      <c r="K15" s="520"/>
      <c r="L15" s="526"/>
      <c r="M15" s="526"/>
      <c r="N15" s="526"/>
    </row>
    <row r="16" spans="1:14" x14ac:dyDescent="0.35">
      <c r="B16" s="528" t="s">
        <v>438</v>
      </c>
      <c r="C16" s="523"/>
      <c r="D16" s="523"/>
      <c r="E16" s="527"/>
      <c r="F16" s="527"/>
      <c r="G16" s="527"/>
      <c r="H16" s="527"/>
      <c r="I16" s="520"/>
      <c r="J16" s="520"/>
      <c r="K16" s="520"/>
      <c r="L16" s="526"/>
      <c r="M16" s="526"/>
      <c r="N16" s="526"/>
    </row>
    <row r="17" spans="1:14" s="518" customFormat="1" ht="58.15" customHeight="1" x14ac:dyDescent="0.35">
      <c r="B17" s="519">
        <v>1</v>
      </c>
      <c r="C17" s="520"/>
      <c r="D17" s="520"/>
      <c r="E17" s="520"/>
      <c r="F17" s="520"/>
      <c r="G17" s="520"/>
      <c r="H17" s="520"/>
      <c r="I17" s="902"/>
      <c r="J17" s="902"/>
      <c r="K17" s="902"/>
      <c r="L17" s="904"/>
      <c r="M17" s="904"/>
      <c r="N17" s="904"/>
    </row>
    <row r="18" spans="1:14" x14ac:dyDescent="0.35">
      <c r="E18" s="525"/>
      <c r="F18" s="525"/>
      <c r="G18" s="525"/>
      <c r="H18" s="525"/>
      <c r="L18" s="904"/>
      <c r="M18" s="904"/>
      <c r="N18" s="904"/>
    </row>
    <row r="20" spans="1:14" x14ac:dyDescent="0.35">
      <c r="A20" s="529" t="s">
        <v>429</v>
      </c>
      <c r="B20" s="397" t="s">
        <v>430</v>
      </c>
    </row>
    <row r="21" spans="1:14" x14ac:dyDescent="0.35">
      <c r="B21" s="898" t="s">
        <v>422</v>
      </c>
      <c r="C21" s="900" t="s">
        <v>423</v>
      </c>
      <c r="D21" s="900" t="s">
        <v>424</v>
      </c>
      <c r="E21" s="901" t="str">
        <f>E5</f>
        <v>As at 31st March 2025</v>
      </c>
      <c r="F21" s="901"/>
      <c r="G21" s="901" t="s">
        <v>466</v>
      </c>
      <c r="H21" s="901"/>
      <c r="I21" s="898" t="s">
        <v>425</v>
      </c>
      <c r="J21" s="898"/>
      <c r="K21" s="898"/>
      <c r="L21" s="898" t="s">
        <v>426</v>
      </c>
      <c r="M21" s="898"/>
      <c r="N21" s="898"/>
    </row>
    <row r="22" spans="1:14" x14ac:dyDescent="0.35">
      <c r="B22" s="899"/>
      <c r="C22" s="899"/>
      <c r="D22" s="899"/>
      <c r="E22" s="530" t="s">
        <v>427</v>
      </c>
      <c r="F22" s="530" t="s">
        <v>373</v>
      </c>
      <c r="G22" s="530" t="s">
        <v>427</v>
      </c>
      <c r="H22" s="530" t="s">
        <v>373</v>
      </c>
      <c r="I22" s="899"/>
      <c r="J22" s="899"/>
      <c r="K22" s="899"/>
      <c r="L22" s="899"/>
      <c r="M22" s="899"/>
      <c r="N22" s="899"/>
    </row>
    <row r="23" spans="1:14" ht="21" customHeight="1" x14ac:dyDescent="0.35">
      <c r="B23" s="528" t="s">
        <v>428</v>
      </c>
      <c r="C23" s="531"/>
      <c r="D23" s="531"/>
      <c r="E23" s="532"/>
      <c r="F23" s="532"/>
      <c r="G23" s="532"/>
      <c r="H23" s="532"/>
      <c r="I23" s="531"/>
      <c r="J23" s="531"/>
      <c r="K23" s="531"/>
      <c r="L23" s="531"/>
      <c r="M23" s="531"/>
      <c r="N23" s="531"/>
    </row>
    <row r="24" spans="1:14" x14ac:dyDescent="0.35">
      <c r="B24" s="522"/>
      <c r="C24" s="531"/>
      <c r="D24" s="526"/>
      <c r="E24" s="532"/>
      <c r="F24" s="532"/>
      <c r="G24" s="532"/>
      <c r="H24" s="523"/>
      <c r="I24" s="531"/>
      <c r="J24" s="531"/>
      <c r="K24" s="531"/>
      <c r="L24" s="531"/>
      <c r="M24" s="531"/>
      <c r="N24" s="531"/>
    </row>
    <row r="25" spans="1:14" ht="16.5" customHeight="1" x14ac:dyDescent="0.35">
      <c r="B25" s="522"/>
      <c r="C25" s="531"/>
      <c r="D25" s="526"/>
      <c r="E25" s="532"/>
      <c r="F25" s="532"/>
      <c r="G25" s="532"/>
      <c r="H25" s="523"/>
      <c r="J25" s="526"/>
      <c r="K25" s="526"/>
      <c r="L25" s="904"/>
      <c r="M25" s="904"/>
      <c r="N25" s="904"/>
    </row>
    <row r="26" spans="1:14" ht="39.65" customHeight="1" x14ac:dyDescent="0.35">
      <c r="B26" s="533">
        <v>1</v>
      </c>
      <c r="C26" s="526"/>
      <c r="D26" s="526"/>
      <c r="E26" s="523"/>
      <c r="F26" s="523"/>
      <c r="G26" s="523"/>
      <c r="H26" s="523"/>
      <c r="I26" s="903"/>
      <c r="J26" s="903"/>
      <c r="K26" s="903"/>
      <c r="L26" s="904"/>
      <c r="M26" s="904"/>
      <c r="N26" s="904"/>
    </row>
    <row r="27" spans="1:14" ht="47.25" customHeight="1" x14ac:dyDescent="0.35">
      <c r="B27" s="533">
        <f>+B26+1</f>
        <v>2</v>
      </c>
      <c r="C27" s="526"/>
      <c r="E27" s="526"/>
      <c r="F27" s="526"/>
      <c r="G27" s="526"/>
      <c r="H27" s="526"/>
      <c r="I27" s="903"/>
      <c r="J27" s="903"/>
      <c r="K27" s="903"/>
      <c r="L27" s="904"/>
      <c r="M27" s="904"/>
      <c r="N27" s="904"/>
    </row>
    <row r="28" spans="1:14" ht="22.9" customHeight="1" x14ac:dyDescent="0.35">
      <c r="I28" s="526"/>
      <c r="J28" s="526"/>
      <c r="K28" s="526"/>
      <c r="L28" s="534"/>
      <c r="M28" s="534"/>
      <c r="N28" s="534"/>
    </row>
    <row r="29" spans="1:14" ht="22.9" customHeight="1" x14ac:dyDescent="0.35">
      <c r="I29" s="526"/>
      <c r="J29" s="526"/>
      <c r="K29" s="526"/>
      <c r="L29" s="534"/>
      <c r="M29" s="534"/>
      <c r="N29" s="534"/>
    </row>
    <row r="30" spans="1:14" x14ac:dyDescent="0.35">
      <c r="E30" s="525">
        <f>SUM(E26:E27)</f>
        <v>0</v>
      </c>
      <c r="F30" s="525">
        <f>SUM(F26:F27)</f>
        <v>0</v>
      </c>
      <c r="G30" s="525">
        <f>SUM(G26:G27)</f>
        <v>0</v>
      </c>
      <c r="H30" s="525">
        <f>SUM(H26:H27)</f>
        <v>0</v>
      </c>
      <c r="I30" s="526"/>
      <c r="J30" s="526"/>
      <c r="K30" s="526"/>
      <c r="L30" s="534"/>
      <c r="M30" s="534"/>
      <c r="N30" s="534"/>
    </row>
    <row r="31" spans="1:14" ht="33.75" customHeight="1" x14ac:dyDescent="0.35">
      <c r="B31" s="528" t="s">
        <v>437</v>
      </c>
      <c r="J31" s="526"/>
      <c r="K31" s="526"/>
      <c r="M31" s="535"/>
      <c r="N31" s="535"/>
    </row>
    <row r="32" spans="1:14" ht="33.75" customHeight="1" x14ac:dyDescent="0.35">
      <c r="B32" s="522">
        <f>B26+1</f>
        <v>2</v>
      </c>
      <c r="C32" s="520"/>
      <c r="D32" s="523"/>
      <c r="E32" s="523"/>
      <c r="F32" s="523"/>
      <c r="G32" s="523"/>
      <c r="H32" s="523"/>
      <c r="I32" s="905"/>
      <c r="J32" s="905"/>
      <c r="K32" s="905"/>
      <c r="L32" s="904"/>
      <c r="M32" s="904"/>
      <c r="N32" s="904"/>
    </row>
    <row r="33" spans="2:11" x14ac:dyDescent="0.35">
      <c r="B33" s="522"/>
      <c r="E33" s="525">
        <f>SUM(E32)</f>
        <v>0</v>
      </c>
      <c r="F33" s="525">
        <f t="shared" ref="F33:H33" si="1">SUM(F32)</f>
        <v>0</v>
      </c>
      <c r="G33" s="525">
        <f t="shared" si="1"/>
        <v>0</v>
      </c>
      <c r="H33" s="525">
        <f t="shared" si="1"/>
        <v>0</v>
      </c>
      <c r="I33" s="526"/>
      <c r="J33" s="526"/>
      <c r="K33" s="526"/>
    </row>
    <row r="43" spans="2:11" x14ac:dyDescent="0.35">
      <c r="E43" s="526"/>
      <c r="F43" s="526"/>
      <c r="G43" s="526"/>
      <c r="H43" s="526"/>
      <c r="I43" s="526"/>
      <c r="J43" s="526"/>
    </row>
  </sheetData>
  <mergeCells count="26">
    <mergeCell ref="I13:K13"/>
    <mergeCell ref="I17:K17"/>
    <mergeCell ref="L21:N22"/>
    <mergeCell ref="I21:K22"/>
    <mergeCell ref="I32:K32"/>
    <mergeCell ref="L32:N32"/>
    <mergeCell ref="L25:N27"/>
    <mergeCell ref="I27:K27"/>
    <mergeCell ref="L17:N18"/>
    <mergeCell ref="I26:K26"/>
    <mergeCell ref="I12:K12"/>
    <mergeCell ref="L5:N6"/>
    <mergeCell ref="I8:K8"/>
    <mergeCell ref="I9:K9"/>
    <mergeCell ref="I5:K6"/>
    <mergeCell ref="L8:N9"/>
    <mergeCell ref="B5:B6"/>
    <mergeCell ref="C5:C6"/>
    <mergeCell ref="D5:D6"/>
    <mergeCell ref="E5:F5"/>
    <mergeCell ref="G5:H5"/>
    <mergeCell ref="B21:B22"/>
    <mergeCell ref="C21:C22"/>
    <mergeCell ref="D21:D22"/>
    <mergeCell ref="E21:F21"/>
    <mergeCell ref="G21:H21"/>
  </mergeCells>
  <pageMargins left="0.11811023622047245" right="0" top="0.15748031496062992" bottom="0.1" header="0.23622047244094491" footer="0.31496062992125984"/>
  <pageSetup paperSize="9" scale="57" fitToHeight="3" orientation="landscape" r:id="rId1"/>
  <rowBreaks count="1" manualBreakCount="1">
    <brk id="10" max="1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A267-6FF7-4F0A-BDD8-54AE3246E960}">
  <sheetPr>
    <tabColor rgb="FF92D050"/>
  </sheetPr>
  <dimension ref="A3:D16"/>
  <sheetViews>
    <sheetView workbookViewId="0">
      <selection activeCell="C11" sqref="C11"/>
    </sheetView>
  </sheetViews>
  <sheetFormatPr defaultRowHeight="12.5" x14ac:dyDescent="0.25"/>
  <cols>
    <col min="2" max="2" width="77" bestFit="1" customWidth="1"/>
    <col min="3" max="3" width="27.26953125" customWidth="1"/>
    <col min="4" max="4" width="24.54296875" customWidth="1"/>
  </cols>
  <sheetData>
    <row r="3" spans="1:4" ht="19" x14ac:dyDescent="0.45">
      <c r="A3" s="94" t="s">
        <v>287</v>
      </c>
      <c r="B3" s="392" t="s">
        <v>250</v>
      </c>
      <c r="C3" s="379"/>
      <c r="D3" s="379"/>
    </row>
    <row r="4" spans="1:4" ht="19" x14ac:dyDescent="0.45">
      <c r="A4" s="94"/>
      <c r="B4" s="131"/>
      <c r="C4" s="379"/>
      <c r="D4" s="379"/>
    </row>
    <row r="5" spans="1:4" ht="19" x14ac:dyDescent="0.45">
      <c r="A5" s="94"/>
      <c r="B5" s="833"/>
      <c r="C5" s="614" t="s">
        <v>773</v>
      </c>
      <c r="D5" s="841" t="str">
        <f>'Note 20-31'!$D$75</f>
        <v>For the period ended at March 31, 2024</v>
      </c>
    </row>
    <row r="6" spans="1:4" ht="19" x14ac:dyDescent="0.45">
      <c r="A6" s="94"/>
      <c r="B6" s="834"/>
      <c r="C6" s="615"/>
      <c r="D6" s="841"/>
    </row>
    <row r="7" spans="1:4" ht="19" x14ac:dyDescent="0.45">
      <c r="A7" s="94"/>
      <c r="B7" s="363"/>
      <c r="C7" s="125"/>
      <c r="D7" s="125"/>
    </row>
    <row r="8" spans="1:4" ht="19" x14ac:dyDescent="0.45">
      <c r="A8" s="94"/>
      <c r="B8" s="367" t="s">
        <v>258</v>
      </c>
      <c r="C8" s="368"/>
      <c r="D8" s="368"/>
    </row>
    <row r="9" spans="1:4" ht="19" x14ac:dyDescent="0.45">
      <c r="A9" s="94"/>
      <c r="B9" s="369" t="s">
        <v>259</v>
      </c>
      <c r="C9" s="126">
        <v>65233080.550028428</v>
      </c>
      <c r="D9" s="126">
        <v>58538634.778340682</v>
      </c>
    </row>
    <row r="10" spans="1:4" ht="19" x14ac:dyDescent="0.45">
      <c r="A10" s="94"/>
      <c r="B10" s="369" t="s">
        <v>251</v>
      </c>
      <c r="C10" s="370">
        <v>1662560</v>
      </c>
      <c r="D10" s="370">
        <v>166256</v>
      </c>
    </row>
    <row r="11" spans="1:4" ht="19" x14ac:dyDescent="0.45">
      <c r="A11" s="94"/>
      <c r="B11" s="369" t="s">
        <v>252</v>
      </c>
      <c r="C11" s="370">
        <v>9975360</v>
      </c>
      <c r="D11" s="370">
        <v>166256</v>
      </c>
    </row>
    <row r="12" spans="1:4" ht="19" x14ac:dyDescent="0.45">
      <c r="A12" s="94"/>
      <c r="B12" s="369" t="s">
        <v>253</v>
      </c>
      <c r="C12" s="370">
        <v>9975360</v>
      </c>
      <c r="D12" s="370">
        <v>166256</v>
      </c>
    </row>
    <row r="13" spans="1:4" ht="19" x14ac:dyDescent="0.45">
      <c r="A13" s="94"/>
      <c r="B13" s="369" t="s">
        <v>254</v>
      </c>
      <c r="C13" s="370">
        <v>10</v>
      </c>
      <c r="D13" s="370">
        <v>100</v>
      </c>
    </row>
    <row r="14" spans="1:4" ht="19" x14ac:dyDescent="0.45">
      <c r="A14" s="94"/>
      <c r="B14" s="367" t="s">
        <v>255</v>
      </c>
      <c r="C14" s="371"/>
      <c r="D14" s="126"/>
    </row>
    <row r="15" spans="1:4" ht="19" x14ac:dyDescent="0.45">
      <c r="A15" s="94"/>
      <c r="B15" s="369" t="s">
        <v>256</v>
      </c>
      <c r="C15" s="565">
        <v>6.5394211888120761</v>
      </c>
      <c r="D15" s="565">
        <v>352.09938154617384</v>
      </c>
    </row>
    <row r="16" spans="1:4" ht="19" x14ac:dyDescent="0.45">
      <c r="A16" s="94"/>
      <c r="B16" s="372" t="s">
        <v>257</v>
      </c>
      <c r="C16" s="566">
        <v>6.5394211888120761</v>
      </c>
      <c r="D16" s="566">
        <v>352.09938154617384</v>
      </c>
    </row>
  </sheetData>
  <mergeCells count="3">
    <mergeCell ref="B5:B6"/>
    <mergeCell ref="C5:C6"/>
    <mergeCell ref="D5:D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BS PnL</vt:lpstr>
      <vt:lpstr>Cash Flow </vt:lpstr>
      <vt:lpstr>Note 1-2</vt:lpstr>
      <vt:lpstr>Note 3 (Share Capital)</vt:lpstr>
      <vt:lpstr>NOTE (4-12)</vt:lpstr>
      <vt:lpstr>Note 12 (PPE)</vt:lpstr>
      <vt:lpstr>13.CWIP</vt:lpstr>
      <vt:lpstr>Note (13-20)</vt:lpstr>
      <vt:lpstr>Note 20-31</vt:lpstr>
      <vt:lpstr>EBP</vt:lpstr>
      <vt:lpstr>Ratio_working</vt:lpstr>
      <vt:lpstr>Other Notes</vt:lpstr>
      <vt:lpstr>Stock Reconciliation </vt:lpstr>
      <vt:lpstr>Borrowing</vt:lpstr>
      <vt:lpstr>EPS</vt:lpstr>
      <vt:lpstr>'13.CWIP'!Print_Area</vt:lpstr>
      <vt:lpstr>Borrowing!Print_Area</vt:lpstr>
      <vt:lpstr>'BS PnL'!Print_Area</vt:lpstr>
      <vt:lpstr>'Cash Flow '!Print_Area</vt:lpstr>
      <vt:lpstr>EBP!Print_Area</vt:lpstr>
      <vt:lpstr>'Note (13-20)'!Print_Area</vt:lpstr>
      <vt:lpstr>'NOTE (4-12)'!Print_Area</vt:lpstr>
      <vt:lpstr>'Note 1-2'!Print_Area</vt:lpstr>
      <vt:lpstr>'Note 12 (PPE)'!Print_Area</vt:lpstr>
      <vt:lpstr>'Note 20-31'!Print_Area</vt:lpstr>
      <vt:lpstr>'Note 3 (Share Capital)'!Print_Area</vt:lpstr>
      <vt:lpstr>'Other Notes'!Print_Area</vt:lpstr>
      <vt:lpstr>'Stock Reconciliation '!Print_Area</vt:lpstr>
      <vt:lpstr>Borrowing!Print_Titles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Copm1</dc:creator>
  <cp:lastModifiedBy>Saurabh Jain</cp:lastModifiedBy>
  <cp:lastPrinted>2025-09-05T13:17:58Z</cp:lastPrinted>
  <dcterms:created xsi:type="dcterms:W3CDTF">2004-12-12T21:27:39Z</dcterms:created>
  <dcterms:modified xsi:type="dcterms:W3CDTF">2026-08-18T09:33:05Z</dcterms:modified>
</cp:coreProperties>
</file>